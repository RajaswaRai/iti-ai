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rxb\Downloads\"/>
    </mc:Choice>
  </mc:AlternateContent>
  <xr:revisionPtr revIDLastSave="0" documentId="13_ncr:1_{84067C94-79AD-4F49-B0D4-ECFA7D39A077}" xr6:coauthVersionLast="47" xr6:coauthVersionMax="47" xr10:uidLastSave="{00000000-0000-0000-0000-000000000000}"/>
  <bookViews>
    <workbookView xWindow="-108" yWindow="-108" windowWidth="23256" windowHeight="12456" firstSheet="1" activeTab="4" xr2:uid="{00000000-000D-0000-FFFF-FFFF00000000}"/>
  </bookViews>
  <sheets>
    <sheet name="Referensi CC" sheetId="7" r:id="rId1"/>
    <sheet name="LAM INFOKOM" sheetId="9" r:id="rId2"/>
    <sheet name="StrukturKurikulumRef full" sheetId="10" r:id="rId3"/>
    <sheet name="StrukturKurikulumRef" sheetId="8" r:id="rId4"/>
    <sheet name="Kurikulum 2023" sheetId="11" r:id="rId5"/>
  </sheets>
  <definedNames>
    <definedName name="_xlnm._FilterDatabase" localSheetId="3" hidden="1">StrukturKurikulumRef!$B$2:$M$59</definedName>
    <definedName name="_xlnm._FilterDatabase" localSheetId="2" hidden="1">'StrukturKurikulumRef full'!$B$2:$O$59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 roundtripDataSignature="AMtx7mhGczUcIYRtUKDsWvHI8mQDWAxb2g=="/>
    </ext>
  </extLst>
</workbook>
</file>

<file path=xl/calcChain.xml><?xml version="1.0" encoding="utf-8"?>
<calcChain xmlns="http://schemas.openxmlformats.org/spreadsheetml/2006/main">
  <c r="F33" i="11" l="1"/>
  <c r="M64" i="11"/>
  <c r="M55" i="11"/>
  <c r="F74" i="11"/>
  <c r="F65" i="11"/>
  <c r="F55" i="11"/>
  <c r="F44" i="11"/>
  <c r="M38" i="11"/>
  <c r="M34" i="11"/>
  <c r="F24" i="11"/>
  <c r="M23" i="11"/>
  <c r="M14" i="11"/>
  <c r="F14" i="11"/>
  <c r="G106" i="10" l="1"/>
  <c r="G97" i="10"/>
  <c r="G87" i="10"/>
  <c r="N86" i="10"/>
  <c r="M86" i="10"/>
  <c r="N85" i="10"/>
  <c r="M85" i="10"/>
  <c r="N81" i="10"/>
  <c r="M81" i="10"/>
  <c r="N80" i="10"/>
  <c r="M80" i="10"/>
  <c r="O80" i="10" s="1"/>
  <c r="N79" i="10"/>
  <c r="M79" i="10"/>
  <c r="N78" i="10"/>
  <c r="M78" i="10"/>
  <c r="G78" i="10"/>
  <c r="N77" i="10"/>
  <c r="M77" i="10"/>
  <c r="N76" i="10"/>
  <c r="O76" i="10" s="1"/>
  <c r="M76" i="10"/>
  <c r="N73" i="10"/>
  <c r="M73" i="10"/>
  <c r="O73" i="10" s="1"/>
  <c r="N72" i="10"/>
  <c r="M72" i="10"/>
  <c r="N71" i="10"/>
  <c r="M71" i="10"/>
  <c r="O71" i="10" s="1"/>
  <c r="N70" i="10"/>
  <c r="M70" i="10"/>
  <c r="N69" i="10"/>
  <c r="M69" i="10"/>
  <c r="O69" i="10" s="1"/>
  <c r="N68" i="10"/>
  <c r="M68" i="10"/>
  <c r="G68" i="10"/>
  <c r="N67" i="10"/>
  <c r="M67" i="10"/>
  <c r="N66" i="10"/>
  <c r="M66" i="10"/>
  <c r="O66" i="10" s="1"/>
  <c r="N65" i="10"/>
  <c r="M65" i="10"/>
  <c r="N64" i="10"/>
  <c r="M64" i="10"/>
  <c r="O64" i="10" s="1"/>
  <c r="N63" i="10"/>
  <c r="M63" i="10"/>
  <c r="N62" i="10"/>
  <c r="M62" i="10"/>
  <c r="M74" i="10" l="1"/>
  <c r="O81" i="10"/>
  <c r="O78" i="10"/>
  <c r="O62" i="10"/>
  <c r="O63" i="10"/>
  <c r="O65" i="10"/>
  <c r="O68" i="10"/>
  <c r="O70" i="10"/>
  <c r="O77" i="10"/>
  <c r="N74" i="10"/>
  <c r="O74" i="10" s="1"/>
  <c r="O67" i="10"/>
  <c r="O72" i="10"/>
  <c r="O79" i="10"/>
  <c r="O86" i="10"/>
  <c r="O85" i="10"/>
  <c r="G87" i="8"/>
  <c r="G68" i="8"/>
  <c r="G106" i="8" l="1"/>
  <c r="G97" i="8" l="1"/>
  <c r="G78" i="8"/>
  <c r="M87" i="10"/>
  <c r="O87" i="10"/>
  <c r="N87" i="10"/>
  <c r="M82" i="10"/>
  <c r="O82" i="10"/>
  <c r="N82" i="10"/>
</calcChain>
</file>

<file path=xl/sharedStrings.xml><?xml version="1.0" encoding="utf-8"?>
<sst xmlns="http://schemas.openxmlformats.org/spreadsheetml/2006/main" count="1494" uniqueCount="482">
  <si>
    <t>KODE MK</t>
  </si>
  <si>
    <t>SKS</t>
  </si>
  <si>
    <t>I</t>
  </si>
  <si>
    <t>Agama Islam</t>
  </si>
  <si>
    <t>II</t>
  </si>
  <si>
    <t>IF32104</t>
  </si>
  <si>
    <t>Struktur Data</t>
  </si>
  <si>
    <t>Agama Kristen Protestan</t>
  </si>
  <si>
    <t>Agama Katholik</t>
  </si>
  <si>
    <t>Agama Budha/Hindu</t>
  </si>
  <si>
    <t>Matematika 1</t>
  </si>
  <si>
    <t>Bahasa Inggris</t>
  </si>
  <si>
    <t>IF32106</t>
  </si>
  <si>
    <t>Interaksi Manusia dan Komputer</t>
  </si>
  <si>
    <t>Transformasi Digital</t>
  </si>
  <si>
    <t>Matematika Diskrit</t>
  </si>
  <si>
    <t>IF32101</t>
  </si>
  <si>
    <t>Pemrograman Dasar</t>
  </si>
  <si>
    <t>IF32107</t>
  </si>
  <si>
    <t>Pemrograman Berorientasi Objek</t>
  </si>
  <si>
    <t>IF32102</t>
  </si>
  <si>
    <t>Dasar Sistem Digital</t>
  </si>
  <si>
    <t>IF32108</t>
  </si>
  <si>
    <t>Dasar Arsitektur dan Organisasi Komputer</t>
  </si>
  <si>
    <t>III</t>
  </si>
  <si>
    <t>Pancasila</t>
  </si>
  <si>
    <t>IV</t>
  </si>
  <si>
    <t>Kewarganegaraan</t>
  </si>
  <si>
    <t>Bahasa Indonesia</t>
  </si>
  <si>
    <t>Dasar Kewirausahaan</t>
  </si>
  <si>
    <t>IF32125</t>
  </si>
  <si>
    <t>Pemrograman Berbasis Web</t>
  </si>
  <si>
    <t>IF32146</t>
  </si>
  <si>
    <t>Analisis dan Perancangan Sistem</t>
  </si>
  <si>
    <t>Rekayasa Perangkat Lunak</t>
  </si>
  <si>
    <t>Pemrograman Visual</t>
  </si>
  <si>
    <t>IF32113</t>
  </si>
  <si>
    <t>IF32120</t>
  </si>
  <si>
    <t>Jaringan Komputer</t>
  </si>
  <si>
    <t>IF32115</t>
  </si>
  <si>
    <t>Sistem Operasi</t>
  </si>
  <si>
    <t>IF32111</t>
  </si>
  <si>
    <t>Perancangan dan Analisa Algoritma</t>
  </si>
  <si>
    <t>IF32114</t>
  </si>
  <si>
    <t>Kecerdasan Buatan</t>
  </si>
  <si>
    <t>VI</t>
  </si>
  <si>
    <t>Kewirausahaan Lanjut</t>
  </si>
  <si>
    <t>IF32127</t>
  </si>
  <si>
    <t>V</t>
  </si>
  <si>
    <t xml:space="preserve">Machine Learning </t>
  </si>
  <si>
    <t>IF32128</t>
  </si>
  <si>
    <t>Jaringan Komputer Lanjut</t>
  </si>
  <si>
    <t>Teknologi Multimedia</t>
  </si>
  <si>
    <t>IF32129</t>
  </si>
  <si>
    <t>Keamanan Informasi</t>
  </si>
  <si>
    <t>IF32123</t>
  </si>
  <si>
    <t>Kecakapan Antar Personal</t>
  </si>
  <si>
    <t>IF32130</t>
  </si>
  <si>
    <t>Sistem Paralel dan Terdistribusi</t>
  </si>
  <si>
    <t>Sistem Informasi</t>
  </si>
  <si>
    <t>Pemodelan dan Simulasi</t>
  </si>
  <si>
    <t>Teknik Riset Operasional</t>
  </si>
  <si>
    <t>IF32121</t>
  </si>
  <si>
    <t>Grafika Komputer</t>
  </si>
  <si>
    <t>VIII</t>
  </si>
  <si>
    <t>Data Visualization</t>
  </si>
  <si>
    <t>VII</t>
  </si>
  <si>
    <t>IF42125</t>
  </si>
  <si>
    <t>Etika profesi</t>
  </si>
  <si>
    <t>SMSTR</t>
  </si>
  <si>
    <r>
      <rPr>
        <i/>
        <sz val="10"/>
        <color theme="1"/>
        <rFont val="Calibri"/>
        <family val="2"/>
      </rPr>
      <t xml:space="preserve">Database </t>
    </r>
    <r>
      <rPr>
        <sz val="10"/>
        <color theme="1"/>
        <rFont val="Calibri"/>
        <family val="2"/>
      </rPr>
      <t>1</t>
    </r>
  </si>
  <si>
    <r>
      <rPr>
        <sz val="10"/>
        <color theme="1"/>
        <rFont val="Calibri"/>
        <family val="2"/>
      </rPr>
      <t xml:space="preserve">Pemrograman Aplikasi </t>
    </r>
    <r>
      <rPr>
        <i/>
        <sz val="10"/>
        <color theme="1"/>
        <rFont val="Calibri"/>
        <family val="2"/>
      </rPr>
      <t>Mobile</t>
    </r>
  </si>
  <si>
    <r>
      <rPr>
        <sz val="10"/>
        <color theme="1"/>
        <rFont val="Calibri"/>
        <family val="2"/>
      </rPr>
      <t xml:space="preserve">IT </t>
    </r>
    <r>
      <rPr>
        <i/>
        <sz val="10"/>
        <color theme="1"/>
        <rFont val="Calibri"/>
        <family val="2"/>
      </rPr>
      <t>Project</t>
    </r>
  </si>
  <si>
    <t>Agama</t>
  </si>
  <si>
    <t>IT Project</t>
  </si>
  <si>
    <t>CE</t>
  </si>
  <si>
    <t>CS</t>
  </si>
  <si>
    <t>4.5. Platform-Based Development</t>
  </si>
  <si>
    <t>4. Software Development</t>
  </si>
  <si>
    <t>5. Software Fundamental</t>
  </si>
  <si>
    <t>6. Hardware</t>
  </si>
  <si>
    <t>_</t>
  </si>
  <si>
    <t/>
  </si>
  <si>
    <t>CSEC</t>
  </si>
  <si>
    <t>IS</t>
  </si>
  <si>
    <t>IT</t>
  </si>
  <si>
    <t>SE</t>
  </si>
  <si>
    <t>Min</t>
  </si>
  <si>
    <t>Max</t>
  </si>
  <si>
    <t>I. Users and Organizations</t>
  </si>
  <si>
    <t>1.1. Social Issues and Professional Practice</t>
  </si>
  <si>
    <t>1.2. Security Policy and Management</t>
  </si>
  <si>
    <t>1.3. IS Management and Leadership</t>
  </si>
  <si>
    <t>1.4. Enterprise Architecture</t>
  </si>
  <si>
    <t>1.5. Project Management</t>
  </si>
  <si>
    <t>2 -</t>
  </si>
  <si>
    <t>1.6. User Experience Design</t>
  </si>
  <si>
    <t>2. Systems Modeling</t>
  </si>
  <si>
    <t>2.1. Security Issues and Principles</t>
  </si>
  <si>
    <t>2.2. Systems Analysis &amp; Design</t>
  </si>
  <si>
    <t>2.3. Requirements Analysis and Specification</t>
  </si>
  <si>
    <t>2 "</t>
  </si>
  <si>
    <t>2.4. Data and Information Management</t>
  </si>
  <si>
    <t>2 '</t>
  </si>
  <si>
    <t>3.1. Virtual Systems and Services</t>
  </si>
  <si>
    <t>3.2. Intelligent Systems (AI)</t>
  </si>
  <si>
    <t>3.3. Internet of Things</t>
  </si>
  <si>
    <t>3.4. Parallel and Distributed Computing</t>
  </si>
  <si>
    <t>3.5. Computer Networks</t>
  </si>
  <si>
    <t>3.6. Embedded Systems</t>
  </si>
  <si>
    <t>o</t>
  </si>
  <si>
    <t>3.7. Integrated Systems Technology</t>
  </si>
  <si>
    <t>3.8. Platform Technologies</t>
  </si>
  <si>
    <t>2 _</t>
  </si>
  <si>
    <t>3.9. Security Technology and Implementation</t>
  </si>
  <si>
    <t>4.1. Software Quality, Verification and Validation</t>
  </si>
  <si>
    <t>PI</t>
  </si>
  <si>
    <t>4.2. Software Process</t>
  </si>
  <si>
    <t>3 I</t>
  </si>
  <si>
    <t>5 I</t>
  </si>
  <si>
    <t>4.3. Software Modeling and Analysis</t>
  </si>
  <si>
    <t>4.4. Software Design</t>
  </si>
  <si>
    <t>'
0</t>
  </si>
  <si>
    <t>4
I</t>
  </si>
  <si>
    <t>5.1. Graphics and Visualization</t>
  </si>
  <si>
    <t>5.2. Operating Systems</t>
  </si>
  <si>
    <t>'</t>
  </si>
  <si>
    <t>5.3. Data Structures, Algorithms and Complexity</t>
  </si>
  <si>
    <t>e</t>
  </si>
  <si>
    <t>5.4. Programming Languages</t>
  </si>
  <si>
    <t>5.6. Computing Systems Fundamentals</t>
  </si>
  <si>
    <t>6.1. Architecture and Organization</t>
  </si>
  <si>
    <t>6.2. Digital Design</t>
  </si>
  <si>
    <t>6.3. Circuits and Electronics</t>
  </si>
  <si>
    <t>6.4. Signal Processing</t>
  </si>
  <si>
    <t>I 0</t>
  </si>
  <si>
    <t>3. Systems 
Architecture
and Infrastructure</t>
  </si>
  <si>
    <t>5.5. Programming Fundamentals</t>
  </si>
  <si>
    <t>WAJIB ITI</t>
  </si>
  <si>
    <t>Statistika</t>
  </si>
  <si>
    <t>Natural Language Processing</t>
  </si>
  <si>
    <t>Pengolahan Citra</t>
  </si>
  <si>
    <t>Big Data Analytic</t>
  </si>
  <si>
    <t>Robotika</t>
  </si>
  <si>
    <t>Administrasi Sistem</t>
  </si>
  <si>
    <t>Pemrograman Sistem</t>
  </si>
  <si>
    <t>Network Security</t>
  </si>
  <si>
    <t xml:space="preserve">Teknologi Blockchain </t>
  </si>
  <si>
    <t>Kriptografi</t>
  </si>
  <si>
    <t>TOTAL</t>
  </si>
  <si>
    <t>Penjaminan Mutu Perangkat Lunak</t>
  </si>
  <si>
    <t>Pemrograman Semantik Web</t>
  </si>
  <si>
    <t>Kerja Praktek</t>
  </si>
  <si>
    <t>Cloud Computing</t>
  </si>
  <si>
    <t>Pemrograman Aplikasi Mobile</t>
  </si>
  <si>
    <t>Tugas Akhir</t>
  </si>
  <si>
    <t>Perception and Computer Vision</t>
  </si>
  <si>
    <t>Digital Forensic</t>
  </si>
  <si>
    <t>e-Commerce</t>
  </si>
  <si>
    <t>Pemrograman Web Lanjut</t>
  </si>
  <si>
    <t>harus ada di semester 5</t>
  </si>
  <si>
    <t>harus ada di semester 4</t>
  </si>
  <si>
    <t>harus ada di semester gajil</t>
  </si>
  <si>
    <t>harus ada di semester genap</t>
  </si>
  <si>
    <t xml:space="preserve">MERDEKA BELAJAR KAMPUS MERDEKA </t>
  </si>
  <si>
    <t>matakuliah</t>
  </si>
  <si>
    <t>sks</t>
  </si>
  <si>
    <t>Mata Kuliah-mata kuliah Inti/Khas Ilmu Komputer</t>
  </si>
  <si>
    <t>Program Studi menguraikan struktur kurikulum yang memuat mata kuliah inti terkait Ilmu Komputer/ Informatika yang mencakup:</t>
  </si>
  <si>
    <r>
      <t>(1)</t>
    </r>
    <r>
      <rPr>
        <sz val="7"/>
        <color theme="1"/>
        <rFont val="Times New Roman"/>
        <family val="1"/>
      </rPr>
      <t xml:space="preserve">  </t>
    </r>
    <r>
      <rPr>
        <sz val="10"/>
        <color theme="1"/>
        <rFont val="Calibri"/>
        <family val="2"/>
      </rPr>
      <t>algoritma dan kompleksitas, teori ilmu komputer, dan konsep bahasa pemrograman.</t>
    </r>
  </si>
  <si>
    <r>
      <t>(2)</t>
    </r>
    <r>
      <rPr>
        <sz val="7"/>
        <color theme="1"/>
        <rFont val="Times New Roman"/>
        <family val="1"/>
      </rPr>
      <t xml:space="preserve">  </t>
    </r>
    <r>
      <rPr>
        <sz val="10"/>
        <color theme="1"/>
        <rFont val="Calibri"/>
        <family val="2"/>
      </rPr>
      <t>satu bahasa pemrograman tujuan umum (general-purpose programming language).</t>
    </r>
  </si>
  <si>
    <r>
      <t>(4)</t>
    </r>
    <r>
      <rPr>
        <sz val="7"/>
        <color theme="1"/>
        <rFont val="Times New Roman"/>
        <family val="1"/>
      </rPr>
      <t xml:space="preserve">  </t>
    </r>
    <r>
      <rPr>
        <sz val="10"/>
        <color theme="1"/>
        <rFont val="Calibri"/>
        <family val="2"/>
      </rPr>
      <t>sistem berbasis komputasi pada berbagai tingkat abstraksi</t>
    </r>
  </si>
  <si>
    <r>
      <t>(5)</t>
    </r>
    <r>
      <rPr>
        <sz val="7"/>
        <color theme="1"/>
        <rFont val="Times New Roman"/>
        <family val="1"/>
      </rPr>
      <t xml:space="preserve">  </t>
    </r>
    <r>
      <rPr>
        <sz val="10"/>
        <color theme="1"/>
        <rFont val="Calibri"/>
        <family val="2"/>
      </rPr>
      <t>proyek utama (capstone project): integrasi dan penerapan pengetahuan dan keterampilan yang diperoleh dari tugas-tugas</t>
    </r>
  </si>
  <si>
    <t>mata kuliah sebelumnya.</t>
  </si>
  <si>
    <t>(6) Minimal 30 sks</t>
  </si>
  <si>
    <t>dan dilengkapi RPS yang memuat CPMK yang sesuai dengan CPL</t>
  </si>
  <si>
    <t>Skor 4 jika Program Studi menguraikan struktur kurikulum yang memuat mata-kuliah inti terkait Ilmu Komputer/ Informatika</t>
  </si>
  <si>
    <t>yang mencakup 6 aspek.</t>
  </si>
  <si>
    <t>Program Studi menguraikan struktur kurikulum yang memuat mata kuliah terkait Sistem, Domain Spesifik dan Lingkungan Pengembangan Perangkat Lunak yang mencakup:</t>
  </si>
  <si>
    <r>
      <t>(1)</t>
    </r>
    <r>
      <rPr>
        <sz val="7"/>
        <color theme="1"/>
        <rFont val="Times New Roman"/>
        <family val="1"/>
      </rPr>
      <t xml:space="preserve">  </t>
    </r>
    <r>
      <rPr>
        <sz val="10"/>
        <color theme="1"/>
        <rFont val="Calibri"/>
        <family val="2"/>
      </rPr>
      <t>dasar-dasar pengembangan perangkat lunak dan dasar-dasar sistem.</t>
    </r>
  </si>
  <si>
    <r>
      <t>(2)</t>
    </r>
    <r>
      <rPr>
        <sz val="7"/>
        <color theme="1"/>
        <rFont val="Times New Roman"/>
        <family val="1"/>
      </rPr>
      <t xml:space="preserve">  </t>
    </r>
    <r>
      <rPr>
        <sz val="10"/>
        <color theme="1"/>
        <rFont val="Calibri"/>
        <family val="2"/>
      </rPr>
      <t>pengembangan berbasis platform (misalkan pemrograman pengembangan web atau devais mobile, pemrograman robot atau konsol game, dll) .</t>
    </r>
  </si>
  <si>
    <r>
      <t>(3)</t>
    </r>
    <r>
      <rPr>
        <sz val="7"/>
        <color theme="1"/>
        <rFont val="Times New Roman"/>
        <family val="1"/>
      </rPr>
      <t xml:space="preserve">  </t>
    </r>
    <r>
      <rPr>
        <sz val="10"/>
        <color theme="1"/>
        <rFont val="Calibri"/>
        <family val="2"/>
      </rPr>
      <t>Pendekatan rekayasa perangkat lunak pada sistem khusus</t>
    </r>
  </si>
  <si>
    <r>
      <t>(4)</t>
    </r>
    <r>
      <rPr>
        <sz val="7"/>
        <color theme="1"/>
        <rFont val="Times New Roman"/>
        <family val="1"/>
      </rPr>
      <t xml:space="preserve">  </t>
    </r>
    <r>
      <rPr>
        <sz val="10"/>
        <color theme="1"/>
        <rFont val="Calibri"/>
        <family val="2"/>
      </rPr>
      <t>Minimal 18 sks</t>
    </r>
  </si>
  <si>
    <t>dan dilengkapi RPS yang memuat CPMK yang relevan dengan CPL.</t>
  </si>
  <si>
    <t>Skor 4 jika Program Studi menguraikan struktur kurikulum yang memuat mata kuliah terkait Sistem, Domain Spesifik dan Lingkungan Pengembangan Perangkat Lunak yang</t>
  </si>
  <si>
    <t>mencakup 4 aspek.</t>
  </si>
  <si>
    <t>Mata kuliah Domain Spesifik dan Lingkungan Pengembangan Perangkat Lunak.</t>
  </si>
  <si>
    <t>Mata kuliah terkait Matematika yang relevan dengan bidang ilmu komputer</t>
  </si>
  <si>
    <t>Program Studi menguraikan struktur kurikulum yang memuat mata-kuliah terkait matematika yang mencakup:</t>
  </si>
  <si>
    <r>
      <t>(1)</t>
    </r>
    <r>
      <rPr>
        <sz val="7"/>
        <color theme="1"/>
        <rFont val="Times New Roman"/>
        <family val="1"/>
      </rPr>
      <t xml:space="preserve">  </t>
    </r>
    <r>
      <rPr>
        <sz val="10"/>
        <color theme="1"/>
        <rFont val="Calibri"/>
        <family val="2"/>
      </rPr>
      <t>pengantar kalkulus dan matematika diskrit</t>
    </r>
  </si>
  <si>
    <r>
      <t>(2)</t>
    </r>
    <r>
      <rPr>
        <sz val="7"/>
        <color theme="1"/>
        <rFont val="Times New Roman"/>
        <family val="1"/>
      </rPr>
      <t xml:space="preserve">  </t>
    </r>
    <r>
      <rPr>
        <sz val="10"/>
        <color theme="1"/>
        <rFont val="Calibri"/>
        <family val="2"/>
      </rPr>
      <t>aljabar linier, metode numerik, probabilitas, statistik, atau teori bilangan</t>
    </r>
  </si>
  <si>
    <r>
      <t>(3)</t>
    </r>
    <r>
      <rPr>
        <sz val="7"/>
        <color theme="1"/>
        <rFont val="Times New Roman"/>
        <family val="1"/>
      </rPr>
      <t xml:space="preserve">  </t>
    </r>
    <r>
      <rPr>
        <sz val="10"/>
        <color theme="1"/>
        <rFont val="Calibri"/>
        <family val="2"/>
      </rPr>
      <t>Minimal 4 sks</t>
    </r>
  </si>
  <si>
    <t>Skor 4 jika Program menguraikan struktur kurikulum yang memuat mata-kuliah terkait matematika yang</t>
  </si>
  <si>
    <t>mencakup 3 aspek.</t>
  </si>
  <si>
    <t>Proyek utama (Capstone project) yang Relevan dengan Bidang Ilmu Komputer.</t>
  </si>
  <si>
    <r>
      <t>Program Studi menguraikan pelaksanaan proyek utama (</t>
    </r>
    <r>
      <rPr>
        <i/>
        <sz val="10"/>
        <color theme="1"/>
        <rFont val="Calibri"/>
        <family val="2"/>
      </rPr>
      <t>Capstone Project</t>
    </r>
    <r>
      <rPr>
        <sz val="10"/>
        <color theme="1"/>
        <rFont val="Calibri"/>
        <family val="2"/>
      </rPr>
      <t>) yang merupakan integrasi dan penerapan pengetahuan dan keterampilan yang diperoleh dari tugas-tugas mata kuliah sebelumnya yang mencakup:</t>
    </r>
  </si>
  <si>
    <r>
      <t>(1)</t>
    </r>
    <r>
      <rPr>
        <sz val="7"/>
        <color theme="1"/>
        <rFont val="Times New Roman"/>
        <family val="1"/>
      </rPr>
      <t xml:space="preserve">  </t>
    </r>
    <r>
      <rPr>
        <sz val="10"/>
        <color theme="1"/>
        <rFont val="Calibri"/>
        <family val="2"/>
      </rPr>
      <t>Panduan pelaksanaan</t>
    </r>
  </si>
  <si>
    <r>
      <t>(2)</t>
    </r>
    <r>
      <rPr>
        <sz val="7"/>
        <color theme="1"/>
        <rFont val="Times New Roman"/>
        <family val="1"/>
      </rPr>
      <t xml:space="preserve">  </t>
    </r>
    <r>
      <rPr>
        <sz val="10"/>
        <color theme="1"/>
        <rFont val="Calibri"/>
        <family val="2"/>
      </rPr>
      <t>Daftar mata kuliah terkait proyek utama</t>
    </r>
  </si>
  <si>
    <r>
      <t>(3)</t>
    </r>
    <r>
      <rPr>
        <sz val="7"/>
        <color theme="1"/>
        <rFont val="Times New Roman"/>
        <family val="1"/>
      </rPr>
      <t xml:space="preserve">  </t>
    </r>
    <r>
      <rPr>
        <sz val="10"/>
        <color theme="1"/>
        <rFont val="Calibri"/>
        <family val="2"/>
      </rPr>
      <t>Aplikasi perangkat lunak dari hasil proyek.</t>
    </r>
  </si>
  <si>
    <t>Proyek ini bisa merupakan bagian dari kurikulum reguler maupun kurikulum Merdeka Belajar-Kampus Merdeka (MBKM)</t>
  </si>
  <si>
    <t>Skor 4 jika Program Studi menguraikan pelaksanaan proyek utama (capstone project) yang merupakan integrasi dan penerapan pengetahuan dan keterampilan yang diperoleh dari tugas-tugas mata kuliah sebelumnya</t>
  </si>
  <si>
    <t>yang mencakup 3 aspek.</t>
  </si>
  <si>
    <r>
      <t>(1)</t>
    </r>
    <r>
      <rPr>
        <sz val="7"/>
        <color theme="1"/>
        <rFont val="Times New Roman"/>
        <family val="1"/>
      </rPr>
      <t xml:space="preserve">  </t>
    </r>
    <r>
      <rPr>
        <sz val="10"/>
        <color theme="1"/>
        <rFont val="Calibri"/>
        <family val="2"/>
      </rPr>
      <t>Kebijakan berupa pedoman pelaksanaan upaya</t>
    </r>
  </si>
  <si>
    <r>
      <t>(2)</t>
    </r>
    <r>
      <rPr>
        <sz val="7"/>
        <color theme="1"/>
        <rFont val="Times New Roman"/>
        <family val="1"/>
      </rPr>
      <t xml:space="preserve">  </t>
    </r>
    <r>
      <rPr>
        <sz val="10"/>
        <color theme="1"/>
        <rFont val="Calibri"/>
        <family val="2"/>
      </rPr>
      <t>Pelaksanaan upaya yang sudah dilakukan</t>
    </r>
  </si>
  <si>
    <r>
      <t>(3)</t>
    </r>
    <r>
      <rPr>
        <sz val="7"/>
        <color theme="1"/>
        <rFont val="Times New Roman"/>
        <family val="1"/>
      </rPr>
      <t xml:space="preserve">  </t>
    </r>
    <r>
      <rPr>
        <sz val="10"/>
        <color theme="1"/>
        <rFont val="Calibri"/>
        <family val="2"/>
      </rPr>
      <t>Kesesuaian upaya dengan peta jalan PKM dan/atau peta jalan penelitian</t>
    </r>
  </si>
  <si>
    <r>
      <t>(4)</t>
    </r>
    <r>
      <rPr>
        <sz val="7"/>
        <color theme="1"/>
        <rFont val="Times New Roman"/>
        <family val="1"/>
      </rPr>
      <t xml:space="preserve">  </t>
    </r>
    <r>
      <rPr>
        <sz val="10"/>
        <color theme="1"/>
        <rFont val="Calibri"/>
        <family val="2"/>
      </rPr>
      <t>Sumber pendanaan dan efektivitas dan</t>
    </r>
  </si>
  <si>
    <t>keberlanjutan upaya-upaya.</t>
  </si>
  <si>
    <t>Skor 4 jika Program Studi menguraikan upaya yang telah dilakukan dalam rangka pengembangan perangkat lunak yang digunakan di masyarakat dan pemangku kepentingan pada suatu domain yang</t>
  </si>
  <si>
    <t xml:space="preserve">Pengembangan Perangkat Lunak Dalam Rangka Pengabdian kepada Masyarakat. </t>
  </si>
  <si>
    <t>Program Studi menguraikan upaya yang telah dilakukan UPPS dalam rangka pengembangan perangkat lunak yang digunakan di masyarakat dan pemangku kepentingan pada suatu domain (domain- domainnya: kesehatan, keuangan, dll.) yang mencakup aspek</t>
  </si>
  <si>
    <t>Khas Ilmu Komputer</t>
  </si>
  <si>
    <t>Domain Spesifik</t>
  </si>
  <si>
    <t>Matematika</t>
  </si>
  <si>
    <t xml:space="preserve">Proyek utama </t>
  </si>
  <si>
    <t>RPL PkM</t>
  </si>
  <si>
    <t>Database</t>
  </si>
  <si>
    <t>Pemrograman Dasar 1</t>
  </si>
  <si>
    <t>Pemrograman Dasar 2</t>
  </si>
  <si>
    <t>Data Science</t>
  </si>
  <si>
    <t>Metodologi Penelitian</t>
  </si>
  <si>
    <t>Pemrograman Mobile Lanjut</t>
  </si>
  <si>
    <t>Pengayaan MBKM 1A</t>
  </si>
  <si>
    <t>Pengayaan MBKM 2A</t>
  </si>
  <si>
    <t>Pengayaan MBKM 3A</t>
  </si>
  <si>
    <t>Pengayaan MBKM 4A</t>
  </si>
  <si>
    <t>Pengayaan MBKM 5A</t>
  </si>
  <si>
    <t>Pengayaan MBKM 6A</t>
  </si>
  <si>
    <t>Pengayaan MBKM 1B</t>
  </si>
  <si>
    <t>Pengayaan MBKM 2B</t>
  </si>
  <si>
    <t>Pengayaan MBKM 3B</t>
  </si>
  <si>
    <t>Pengayaan MBKM 4B</t>
  </si>
  <si>
    <t>Pengayaan MBKM 5B</t>
  </si>
  <si>
    <t>Pengayaan MBKM 6B</t>
  </si>
  <si>
    <t>No</t>
  </si>
  <si>
    <t>Nama Dosen</t>
  </si>
  <si>
    <t>Muhamad Soleh, S.Si, M Kom</t>
  </si>
  <si>
    <t>Melani Indriasari, ST, M Kom</t>
  </si>
  <si>
    <t>Dino Hariatma Putra, ST, M Kom</t>
  </si>
  <si>
    <t>Dra. Sulistyowati, M Kom</t>
  </si>
  <si>
    <t>Ir. Sumiarti, M Kom</t>
  </si>
  <si>
    <t>Sunarto, M Kom</t>
  </si>
  <si>
    <t>Suryo Bramasto, ST, MT</t>
  </si>
  <si>
    <t>Ir. Yustina Sri Suharini, ST, MT</t>
  </si>
  <si>
    <t>Dra. Endang RD, M Kom</t>
  </si>
  <si>
    <t>Husni, ST, M Sc, M Kom</t>
  </si>
  <si>
    <t>Dra. Indrati Sukmadi, M Sc</t>
  </si>
  <si>
    <t>Muhamad Ramli, M.Kom</t>
  </si>
  <si>
    <t>MK Ganjil</t>
  </si>
  <si>
    <t>MK Genap</t>
  </si>
  <si>
    <t>Sistem Informasi Geografis</t>
  </si>
  <si>
    <t>TOTAL MK</t>
  </si>
  <si>
    <t>Dosen Pengampu Ganjil</t>
  </si>
  <si>
    <t>Dosen Pengampu Genap</t>
  </si>
  <si>
    <t>HARINI KUNTJAHYANI</t>
  </si>
  <si>
    <t>MARGARETHA MARIA GORETTY DWI RATNA SULISTYONINGSIH, S.T., M.Sc., M.T., Ph.D</t>
  </si>
  <si>
    <t>BUDI PRASETYO</t>
  </si>
  <si>
    <t>Dr. ANDI EKA SAKYA , M.Eng.</t>
  </si>
  <si>
    <t>MEGA BAGUS HERLAMBANG, S.T., M.T., Ph.D.</t>
  </si>
  <si>
    <t>Ulfah Khairiyah Luthfiani, M.Eng</t>
  </si>
  <si>
    <t>Prof. Dr. Ir. Dwita Suastiyanti, M.Si. </t>
  </si>
  <si>
    <t>Prof. Dr. Ir. Joelianingsih, MT</t>
  </si>
  <si>
    <t>Aljabar Linaer</t>
  </si>
  <si>
    <t>Team Teaching</t>
  </si>
  <si>
    <t>Kode</t>
  </si>
  <si>
    <t>IF</t>
  </si>
  <si>
    <t>Prodi</t>
  </si>
  <si>
    <t>A</t>
  </si>
  <si>
    <t>B</t>
  </si>
  <si>
    <t>C</t>
  </si>
  <si>
    <t>D</t>
  </si>
  <si>
    <t>E</t>
  </si>
  <si>
    <t>Semester</t>
  </si>
  <si>
    <t>Kategori</t>
  </si>
  <si>
    <t>Peminatan</t>
  </si>
  <si>
    <t>Wajib / Pilihan</t>
  </si>
  <si>
    <t>F</t>
  </si>
  <si>
    <t>Urutan</t>
  </si>
  <si>
    <t>IFABCDEF</t>
  </si>
  <si>
    <t>1 sd 8</t>
  </si>
  <si>
    <t>2 sd 6</t>
  </si>
  <si>
    <t>1 sd 6</t>
  </si>
  <si>
    <t>IF12110F</t>
  </si>
  <si>
    <t>IF121101</t>
  </si>
  <si>
    <t>IF121102</t>
  </si>
  <si>
    <t>IF121103</t>
  </si>
  <si>
    <t>IF121104</t>
  </si>
  <si>
    <t>IF121105</t>
  </si>
  <si>
    <t>IF121106</t>
  </si>
  <si>
    <t>IF142107</t>
  </si>
  <si>
    <t>IF132108</t>
  </si>
  <si>
    <t>IF134109</t>
  </si>
  <si>
    <t>IF13410X</t>
  </si>
  <si>
    <t>IF221101</t>
  </si>
  <si>
    <t>IF232102</t>
  </si>
  <si>
    <t>IF232103</t>
  </si>
  <si>
    <t>IF232104</t>
  </si>
  <si>
    <t>IF233106</t>
  </si>
  <si>
    <t>IF234107</t>
  </si>
  <si>
    <t>Dasar UI / UX</t>
  </si>
  <si>
    <t>IF321101</t>
  </si>
  <si>
    <t>IF321102</t>
  </si>
  <si>
    <t>IF332103</t>
  </si>
  <si>
    <t>IF332104</t>
  </si>
  <si>
    <t>IF332105</t>
  </si>
  <si>
    <t>IF322106</t>
  </si>
  <si>
    <t>IF333107</t>
  </si>
  <si>
    <t>IF421101</t>
  </si>
  <si>
    <t>IF422102</t>
  </si>
  <si>
    <t>IF432103</t>
  </si>
  <si>
    <t>IF432104</t>
  </si>
  <si>
    <t>IF433105</t>
  </si>
  <si>
    <t>IF433106</t>
  </si>
  <si>
    <t>IF434107</t>
  </si>
  <si>
    <t>IF532013</t>
  </si>
  <si>
    <t>IF522002</t>
  </si>
  <si>
    <t>IF533014</t>
  </si>
  <si>
    <t>IF532026</t>
  </si>
  <si>
    <t>IF532037</t>
  </si>
  <si>
    <t>IF531101</t>
  </si>
  <si>
    <t>IF6230EF</t>
  </si>
  <si>
    <t>IF632001</t>
  </si>
  <si>
    <t>IF632002</t>
  </si>
  <si>
    <t>IF7230EF</t>
  </si>
  <si>
    <t>IF735101</t>
  </si>
  <si>
    <t>IF725102</t>
  </si>
  <si>
    <t>IF726104</t>
  </si>
  <si>
    <t>IF726105</t>
  </si>
  <si>
    <t>IF736006</t>
  </si>
  <si>
    <t>IF865101</t>
  </si>
  <si>
    <t>IF636013</t>
  </si>
  <si>
    <t>IF623014</t>
  </si>
  <si>
    <t>IF633025</t>
  </si>
  <si>
    <t>IF623026</t>
  </si>
  <si>
    <t>IF623037</t>
  </si>
  <si>
    <t>IF623038</t>
  </si>
  <si>
    <t>IF723039</t>
  </si>
  <si>
    <t>IF72303X</t>
  </si>
  <si>
    <t>IF62303Y</t>
  </si>
  <si>
    <t>IF72303Z</t>
  </si>
  <si>
    <t>IF623027</t>
  </si>
  <si>
    <t>IF623028</t>
  </si>
  <si>
    <t>IF723029</t>
  </si>
  <si>
    <t>IF72302X</t>
  </si>
  <si>
    <t>IF62302Y</t>
  </si>
  <si>
    <t>IF72302Z</t>
  </si>
  <si>
    <t>IF623017</t>
  </si>
  <si>
    <t>IF623018</t>
  </si>
  <si>
    <t>IF723019</t>
  </si>
  <si>
    <t>IF72301X</t>
  </si>
  <si>
    <t>IF62301Y</t>
  </si>
  <si>
    <t>IF72301Z</t>
  </si>
  <si>
    <t>0 sd 4</t>
  </si>
  <si>
    <t>IF51304A</t>
  </si>
  <si>
    <t>IF52304A</t>
  </si>
  <si>
    <t>IF53304A</t>
  </si>
  <si>
    <t>IF54304A</t>
  </si>
  <si>
    <t>IF55304A</t>
  </si>
  <si>
    <t>IF56304A</t>
  </si>
  <si>
    <t>IF61304B</t>
  </si>
  <si>
    <t>IF62304B</t>
  </si>
  <si>
    <t>IF63304B</t>
  </si>
  <si>
    <t>IF64304B</t>
  </si>
  <si>
    <t>IF65304B</t>
  </si>
  <si>
    <t>IF66304B</t>
  </si>
  <si>
    <t>MATAKULIAH - BAHASA</t>
  </si>
  <si>
    <t>COURSE - ENGLISH</t>
  </si>
  <si>
    <t>Basic Programming 1</t>
  </si>
  <si>
    <t>Math 1</t>
  </si>
  <si>
    <t>Discreat Math</t>
  </si>
  <si>
    <t>Religion</t>
  </si>
  <si>
    <t>Digital Transformation</t>
  </si>
  <si>
    <t>Data Structure</t>
  </si>
  <si>
    <t>Object Oriented Programming</t>
  </si>
  <si>
    <t>Digital System Basic</t>
  </si>
  <si>
    <t>Statistic</t>
  </si>
  <si>
    <t>UI / UX Basic</t>
  </si>
  <si>
    <t>Ilmu Data</t>
  </si>
  <si>
    <t>Basis Data</t>
  </si>
  <si>
    <t>Basic Programming 2</t>
  </si>
  <si>
    <t>Indonesian Language</t>
  </si>
  <si>
    <t>English Language</t>
  </si>
  <si>
    <t>Algorithm Design and Analysis</t>
  </si>
  <si>
    <t>System Design and Analysis</t>
  </si>
  <si>
    <t>Citizenship</t>
  </si>
  <si>
    <t>Basic Computer Architecture and Organization</t>
  </si>
  <si>
    <t>Linear Algebra</t>
  </si>
  <si>
    <t>Web based Programming</t>
  </si>
  <si>
    <t>Artificial Intelligant</t>
  </si>
  <si>
    <t>Computer Network</t>
  </si>
  <si>
    <t>Information Security</t>
  </si>
  <si>
    <t>Software Engineering</t>
  </si>
  <si>
    <t>Basic Entrepreneurship</t>
  </si>
  <si>
    <t>Keamanan Jaringan</t>
  </si>
  <si>
    <t>Information System</t>
  </si>
  <si>
    <t>Parallel and Distributed Systems</t>
  </si>
  <si>
    <t>Operations Research Techniques</t>
  </si>
  <si>
    <t>Pembelajaran Mesin</t>
  </si>
  <si>
    <t>Visual Programming</t>
  </si>
  <si>
    <t>Advanced Entrepreneurship</t>
  </si>
  <si>
    <t>Perdagangan Elektronik</t>
  </si>
  <si>
    <t>Komputasi Awan</t>
  </si>
  <si>
    <t>Modeling and Simulation</t>
  </si>
  <si>
    <t>Software Quality Assurance</t>
  </si>
  <si>
    <t>System Administration</t>
  </si>
  <si>
    <t>Interpersonal Proficiency</t>
  </si>
  <si>
    <t>Human Computer Interaction</t>
  </si>
  <si>
    <t>Practical Work</t>
  </si>
  <si>
    <t>Professional Ethics</t>
  </si>
  <si>
    <t>Proyek Teknologi Informasi</t>
  </si>
  <si>
    <t>Research Methodology</t>
  </si>
  <si>
    <t>Thesis</t>
  </si>
  <si>
    <t>Forensik Digital</t>
  </si>
  <si>
    <t>Cryptography</t>
  </si>
  <si>
    <t>Advanced Computer Networking</t>
  </si>
  <si>
    <t>Blockchain Technology</t>
  </si>
  <si>
    <t>System Programming</t>
  </si>
  <si>
    <t>Pengolahan Bahasa Alami</t>
  </si>
  <si>
    <t>Analisis Data Besar</t>
  </si>
  <si>
    <t>Image Processing</t>
  </si>
  <si>
    <t>Visualisasi Data</t>
  </si>
  <si>
    <t>Robotic</t>
  </si>
  <si>
    <t>Persepsi dan Visi Komputer</t>
  </si>
  <si>
    <t>Game Programming</t>
  </si>
  <si>
    <t>Advanced Web Programming</t>
  </si>
  <si>
    <t>Advanced Mobile Programming</t>
  </si>
  <si>
    <t>Geographic Information System</t>
  </si>
  <si>
    <t>Enterprise Application Development</t>
  </si>
  <si>
    <t>Web Semantic Programming</t>
  </si>
  <si>
    <t>Pemrograman Permainan</t>
  </si>
  <si>
    <t>Pengembangan Aplikasi Perusahaan</t>
  </si>
  <si>
    <t>Free Elective Stream 1</t>
  </si>
  <si>
    <t>Free Elective Stream 2</t>
  </si>
  <si>
    <t>Free Elective Stream 3</t>
  </si>
  <si>
    <t>Free Elective Stream 4</t>
  </si>
  <si>
    <t>REKAYASA PERANGKAT LUNAK</t>
  </si>
  <si>
    <t>STREAM:</t>
  </si>
  <si>
    <t xml:space="preserve"> SISTEM DAN JARINGAN</t>
  </si>
  <si>
    <t>KECERDASAN BUATAN</t>
  </si>
  <si>
    <t>Artificial Intelligent</t>
  </si>
  <si>
    <t>SYSTEMS AND NETWORKS</t>
  </si>
  <si>
    <t>STRUKTUR KURIKULUM PROGRAM STUDI TEKNIK INFORMATIKA - ITI</t>
  </si>
  <si>
    <t>CURRICULUM STRUCTURE OF INFORMATICS ENGINEERING - ITI</t>
  </si>
  <si>
    <t>MBKM Enrichment Course 1A</t>
  </si>
  <si>
    <t>MBKM Enrichment Course 2A</t>
  </si>
  <si>
    <t>MBKM Enrichment Course 3A</t>
  </si>
  <si>
    <t>MBKM Enrichment Course 4A</t>
  </si>
  <si>
    <t>MBKM Enrichment Course 5A</t>
  </si>
  <si>
    <t>MBKM Enrichment Course 6A</t>
  </si>
  <si>
    <t>MBKM Enrichment Course 1B</t>
  </si>
  <si>
    <t>MBKM Enrichment Course 2B</t>
  </si>
  <si>
    <t>MBKM Enrichment Course 3B</t>
  </si>
  <si>
    <t>MBKM Enrichment Course 4B</t>
  </si>
  <si>
    <t>MBKM Enrichment Course 5B</t>
  </si>
  <si>
    <t>MBKM Enrichment Course 6B</t>
  </si>
  <si>
    <t>0 sd 1</t>
  </si>
  <si>
    <t>1 Wajib 0 Pilihan</t>
  </si>
  <si>
    <t>0 Basic 4 MBKM</t>
  </si>
  <si>
    <t>Operation System</t>
  </si>
  <si>
    <t>Mobile Application Programming</t>
  </si>
  <si>
    <t>Multimedia Technology</t>
  </si>
  <si>
    <t>Pilihan Bidang Peminatan 1</t>
  </si>
  <si>
    <t>Pilihan Bidang Peminatan 2</t>
  </si>
  <si>
    <t>Pilihan Bidang Peminatan 3</t>
  </si>
  <si>
    <t>Pilihan Bidang Peminatan 4</t>
  </si>
  <si>
    <t>IF522025</t>
  </si>
  <si>
    <t>IF233105</t>
  </si>
  <si>
    <t>IF322108</t>
  </si>
  <si>
    <t>Bu Ulfah - Elektro</t>
  </si>
  <si>
    <t xml:space="preserve">Internet of Things </t>
  </si>
  <si>
    <t xml:space="preserve">IoT </t>
  </si>
  <si>
    <t>Lintas Prodi (maks. 20 SKS)</t>
  </si>
  <si>
    <t>Penulisan Ilmiah dan Seminar</t>
  </si>
  <si>
    <t>Scientific Writing and Seminar</t>
  </si>
  <si>
    <t>IF825102</t>
  </si>
  <si>
    <t>IF736003</t>
  </si>
  <si>
    <t>Islam</t>
  </si>
  <si>
    <t>Protestant Christianity</t>
  </si>
  <si>
    <t>Catholic</t>
  </si>
  <si>
    <t>Buddhism/Hinduism</t>
  </si>
  <si>
    <t>PROGRAM STUDI TEKNIK INFORMATIKA - ITI</t>
  </si>
  <si>
    <t>KURIKULUM BARU 2023</t>
  </si>
  <si>
    <t>ITI AI Assistant merupakan sebuah sistem kecerdasan buatan yang dirancang dan dikembangkan oleh tim mahasiswa Program Studi Teknik Informatika, Institut Teknologi Indonesia (ITI), angkatan 2024. Tim pengembang terdiri dari:
Rajaswa
Zaidan
Tegar
Dema
Pengembangan sistem ini dilakukan sebagai bagian dari implementasi keilmuan dalam bidang rekayasa perangkat lunak, khususnya dalam rangka memenuhi tugas mata kuliah Rekayasa Perangkat Lunak pada semester 4.
Dalam proses pengembangannya, tim menerapkan prinsip-prinsip Software Development Life Cycle (SDLC), yang meliputi tahap analisis kebutuhan, perancangan sistem (system design), implementasi, pengujian (testing), hingga evaluasi dan pemeliharaan. ITI AI Assistant dirancang untuk memberikan solusi berbasis AI yang interaktif, adaptif, dan mampu mendukung kebutuhan pengguna secara efisien.
Selain itu, proyek ini juga menitikberatkan pada:
Perancangan arsitektur sistem yang modular dan skalabel
Penggunaan teknologi modern dalam pengembangan AI assistant
Penerapan antarmuka pengguna (UI/UX) yang intuitif
Integrasi fitur berbasis pemrosesan bahasa alami (Natural Language Processing)
Melalui proyek ini, diharapkan mahasiswa tidak hanya memahami konsep teoritis, tetapi juga mampu mengimplementasikannya dalam bentuk produk nyata yang memiliki nilai guna dan potensi pengembangan lebih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</si>
</sst>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ont>
    <font>
      <sz val="11"/>
      <color theme="1"/>
      <name val="Calibri"/>
      <family val="2"/>
    </font>
    <font>
      <sz val="10"/>
      <color theme="1"/>
      <name val="Calibri"/>
      <family val="2"/>
    </font>
    <font>
      <i/>
      <sz val="10"/>
      <color theme="1"/>
      <name val="Calibri"/>
      <family val="2"/>
    </font>
    <font>
      <sz val="11"/>
      <color theme="1"/>
      <name val="Times New Roman"/>
      <family val="1"/>
    </font>
    <font>
      <sz val="11.5"/>
      <name val="Times New Roman"/>
      <family val="1"/>
    </font>
    <font>
      <sz val="10"/>
      <color theme="1"/>
      <name val="Calibri"/>
      <family val="2"/>
    </font>
    <font>
      <sz val="11"/>
      <color theme="1"/>
      <name val="Calibri"/>
      <family val="2"/>
      <scheme val="major"/>
    </font>
    <font>
      <sz val="10"/>
      <color theme="1"/>
      <name val="Calibri"/>
      <family val="2"/>
      <scheme val="major"/>
    </font>
    <font>
      <b/>
      <sz val="11"/>
      <color theme="1"/>
      <name val="Calibri"/>
      <family val="2"/>
      <scheme val="major"/>
    </font>
    <font>
      <b/>
      <sz val="10"/>
      <color theme="1"/>
      <name val="Calibri"/>
      <family val="2"/>
      <scheme val="major"/>
    </font>
    <font>
      <sz val="7"/>
      <color theme="1"/>
      <name val="Times New Roman"/>
      <family val="1"/>
    </font>
    <font>
      <sz val="9.5"/>
      <color theme="1"/>
      <name val="Calibri"/>
      <family val="2"/>
    </font>
    <font>
      <sz val="10"/>
      <color theme="1"/>
      <name val="Calibri"/>
      <family val="2"/>
      <scheme val="minor"/>
    </font>
    <font>
      <b/>
      <sz val="11"/>
      <color theme="1"/>
      <name val="Calibri"/>
      <family val="2"/>
      <scheme val="minor"/>
    </font>
    <font>
      <sz val="12"/>
      <color rgb="FF000000"/>
      <name val="Calibri"/>
      <family val="2"/>
    </font>
    <font>
      <sz val="12"/>
      <color rgb="FF000000"/>
      <name val="Calibri"/>
      <family val="2"/>
      <charset val="1"/>
    </font>
    <font>
      <b/>
      <sz val="10"/>
      <color rgb="FF000000"/>
      <name val="Calibri"/>
      <family val="2"/>
    </font>
    <font>
      <sz val="10"/>
      <color rgb="FF000000"/>
      <name val="Calibri"/>
      <family val="2"/>
    </font>
    <font>
      <sz val="11"/>
      <color theme="1"/>
      <name val="Arial"/>
      <family val="2"/>
    </font>
    <font>
      <b/>
      <sz val="11"/>
      <color theme="1"/>
      <name val="Arial"/>
      <family val="2"/>
    </font>
    <font>
      <b/>
      <sz val="12"/>
      <color theme="1"/>
      <name val="Calibri"/>
      <family val="2"/>
      <scheme val="major"/>
    </font>
    <font>
      <b/>
      <sz val="12"/>
      <color theme="1"/>
      <name val="Arial"/>
      <family val="2"/>
    </font>
    <font>
      <b/>
      <sz val="16"/>
      <color theme="1"/>
      <name val="Calibri"/>
      <family val="2"/>
      <scheme val="major"/>
    </font>
  </fonts>
  <fills count="35">
    <fill>
      <patternFill patternType="none"/>
    </fill>
    <fill>
      <patternFill patternType="gray125"/>
    </fill>
    <fill>
      <patternFill patternType="solid">
        <fgColor rgb="FF8EAADB"/>
        <bgColor rgb="FF8EAADB"/>
      </patternFill>
    </fill>
    <fill>
      <patternFill patternType="solid">
        <fgColor rgb="FFFFFF00"/>
        <bgColor indexed="64"/>
      </patternFill>
    </fill>
    <fill>
      <patternFill patternType="solid">
        <fgColor rgb="FF92D050"/>
        <bgColor indexed="64"/>
      </patternFill>
    </fill>
    <fill>
      <patternFill patternType="solid">
        <fgColor rgb="FFFFFF00"/>
        <bgColor rgb="FF8EAADB"/>
      </patternFill>
    </fill>
    <fill>
      <patternFill patternType="solid">
        <fgColor theme="5"/>
        <bgColor indexed="64"/>
      </patternFill>
    </fill>
    <fill>
      <patternFill patternType="solid">
        <fgColor theme="5"/>
        <bgColor rgb="FF8EAADB"/>
      </patternFill>
    </fill>
    <fill>
      <patternFill patternType="solid">
        <fgColor theme="4" tint="0.39997558519241921"/>
        <bgColor rgb="FFF7CAAC"/>
      </patternFill>
    </fill>
    <fill>
      <patternFill patternType="solid">
        <fgColor rgb="FFFFFF00"/>
        <bgColor rgb="FFF7CAAC"/>
      </patternFill>
    </fill>
    <fill>
      <patternFill patternType="solid">
        <fgColor rgb="FFFFFF00"/>
        <bgColor rgb="FFADB9CA"/>
      </patternFill>
    </fill>
    <fill>
      <patternFill patternType="solid">
        <fgColor rgb="FF92D050"/>
        <bgColor rgb="FFADB9CA"/>
      </patternFill>
    </fill>
    <fill>
      <patternFill patternType="solid">
        <fgColor rgb="FF00B0F0"/>
        <bgColor indexed="64"/>
      </patternFill>
    </fill>
    <fill>
      <patternFill patternType="solid">
        <fgColor rgb="FF00B0F0"/>
        <bgColor rgb="FFADB9CA"/>
      </patternFill>
    </fill>
    <fill>
      <patternFill patternType="solid">
        <fgColor theme="7" tint="0.59999389629810485"/>
        <bgColor indexed="64"/>
      </patternFill>
    </fill>
    <fill>
      <patternFill patternType="solid">
        <fgColor theme="4" tint="0.39997558519241921"/>
        <bgColor indexed="64"/>
      </patternFill>
    </fill>
    <fill>
      <patternFill patternType="solid">
        <fgColor theme="4" tint="0.39997558519241921"/>
        <bgColor rgb="FF8EAADB"/>
      </patternFill>
    </fill>
    <fill>
      <patternFill patternType="solid">
        <fgColor rgb="FF92D050"/>
        <bgColor rgb="FFF7CAAC"/>
      </patternFill>
    </fill>
    <fill>
      <patternFill patternType="solid">
        <fgColor rgb="FFFF0000"/>
        <bgColor indexed="64"/>
      </patternFill>
    </fill>
    <fill>
      <patternFill patternType="solid">
        <fgColor rgb="FFFF0000"/>
        <bgColor rgb="FF8EAADB"/>
      </patternFill>
    </fill>
    <fill>
      <patternFill patternType="solid">
        <fgColor theme="0" tint="-0.249977111117893"/>
        <bgColor indexed="64"/>
      </patternFill>
    </fill>
    <fill>
      <patternFill patternType="solid">
        <fgColor theme="0" tint="-0.249977111117893"/>
        <bgColor rgb="FF8EAADB"/>
      </patternFill>
    </fill>
    <fill>
      <patternFill patternType="solid">
        <fgColor theme="0" tint="-0.249977111117893"/>
        <bgColor rgb="FFF7CAAC"/>
      </patternFill>
    </fill>
    <fill>
      <patternFill patternType="solid">
        <fgColor theme="0" tint="-0.249977111117893"/>
        <bgColor rgb="FFADB9CA"/>
      </patternFill>
    </fill>
    <fill>
      <patternFill patternType="solid">
        <fgColor theme="9" tint="0.59999389629810485"/>
        <bgColor indexed="64"/>
      </patternFill>
    </fill>
    <fill>
      <patternFill patternType="solid">
        <fgColor theme="2" tint="-0.249977111117893"/>
        <bgColor indexed="64"/>
      </patternFill>
    </fill>
    <fill>
      <patternFill patternType="solid">
        <fgColor theme="2" tint="-0.249977111117893"/>
        <bgColor rgb="FFF7CAAC"/>
      </patternFill>
    </fill>
    <fill>
      <patternFill patternType="solid">
        <fgColor theme="8" tint="0.59999389629810485"/>
        <bgColor indexed="64"/>
      </patternFill>
    </fill>
    <fill>
      <patternFill patternType="solid">
        <fgColor theme="0"/>
        <bgColor indexed="64"/>
      </patternFill>
    </fill>
    <fill>
      <patternFill patternType="solid">
        <fgColor theme="0"/>
        <bgColor rgb="FF8EAADB"/>
      </patternFill>
    </fill>
    <fill>
      <patternFill patternType="solid">
        <fgColor theme="0"/>
        <bgColor rgb="FFF7CAAC"/>
      </patternFill>
    </fill>
    <fill>
      <patternFill patternType="solid">
        <fgColor theme="0"/>
        <bgColor rgb="FFADB9CA"/>
      </patternFill>
    </fill>
    <fill>
      <patternFill patternType="solid">
        <fgColor theme="8" tint="0.39997558519241921"/>
        <bgColor indexed="64"/>
      </patternFill>
    </fill>
    <fill>
      <patternFill patternType="solid">
        <fgColor theme="5" tint="0.59999389629810485"/>
        <bgColor indexed="64"/>
      </patternFill>
    </fill>
    <fill>
      <patternFill patternType="solid">
        <fgColor theme="5" tint="0.59999389629810485"/>
        <bgColor rgb="FF8EAADB"/>
      </patternFill>
    </fill>
  </fills>
  <borders count="3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rgb="FF000000"/>
      </left>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right/>
      <top style="thin">
        <color auto="1"/>
      </top>
      <bottom style="thin">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auto="1"/>
      </left>
      <right/>
      <top style="thin">
        <color auto="1"/>
      </top>
      <bottom/>
      <diagonal/>
    </border>
    <border>
      <left style="thin">
        <color rgb="FF000000"/>
      </left>
      <right/>
      <top/>
      <bottom/>
      <diagonal/>
    </border>
    <border>
      <left/>
      <right style="thin">
        <color auto="1"/>
      </right>
      <top/>
      <bottom style="thin">
        <color auto="1"/>
      </bottom>
      <diagonal/>
    </border>
    <border>
      <left/>
      <right style="thin">
        <color auto="1"/>
      </right>
      <top style="thin">
        <color auto="1"/>
      </top>
      <bottom/>
      <diagonal/>
    </border>
    <border>
      <left/>
      <right/>
      <top style="thin">
        <color rgb="FF000000"/>
      </top>
      <bottom style="thin">
        <color auto="1"/>
      </bottom>
      <diagonal/>
    </border>
    <border>
      <left/>
      <right/>
      <top/>
      <bottom style="thin">
        <color auto="1"/>
      </bottom>
      <diagonal/>
    </border>
    <border>
      <left/>
      <right/>
      <top style="thin">
        <color rgb="FF000000"/>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style="thin">
        <color auto="1"/>
      </bottom>
      <diagonal/>
    </border>
    <border>
      <left/>
      <right/>
      <top style="thin">
        <color auto="1"/>
      </top>
      <bottom/>
      <diagonal/>
    </border>
    <border>
      <left style="thin">
        <color auto="1"/>
      </left>
      <right style="thin">
        <color auto="1"/>
      </right>
      <top style="thin">
        <color auto="1"/>
      </top>
      <bottom style="thin">
        <color rgb="FF000000"/>
      </bottom>
      <diagonal/>
    </border>
  </borders>
  <cellStyleXfs count="1">
    <xf numFmtId="0" fontId="0" fillId="0" borderId="0"/>
  </cellStyleXfs>
  <cellXfs count="437">
    <xf numFmtId="0" fontId="0" fillId="0" borderId="0" xfId="0"/>
    <xf numFmtId="0" fontId="1" fillId="0" borderId="0" xfId="0" applyFont="1"/>
    <xf numFmtId="0" fontId="2" fillId="0" borderId="2" xfId="0" applyFont="1" applyBorder="1" applyAlignment="1">
      <alignment horizontal="center" wrapText="1"/>
    </xf>
    <xf numFmtId="0" fontId="2" fillId="0" borderId="2" xfId="0" applyFont="1" applyBorder="1" applyAlignment="1">
      <alignment horizontal="center" vertical="center" wrapText="1"/>
    </xf>
    <xf numFmtId="0" fontId="4" fillId="0" borderId="5" xfId="0" applyFont="1" applyBorder="1" applyAlignment="1">
      <alignment horizontal="left" vertical="top" wrapText="1"/>
    </xf>
    <xf numFmtId="0" fontId="5" fillId="0" borderId="5" xfId="0" applyFont="1" applyBorder="1" applyAlignment="1">
      <alignment horizontal="left" vertical="top" wrapText="1"/>
    </xf>
    <xf numFmtId="0" fontId="5" fillId="3" borderId="5" xfId="0" applyFont="1" applyFill="1" applyBorder="1" applyAlignment="1">
      <alignment horizontal="left" vertical="top" wrapText="1"/>
    </xf>
    <xf numFmtId="1" fontId="5" fillId="0" borderId="5" xfId="0" applyNumberFormat="1" applyFont="1" applyBorder="1" applyAlignment="1">
      <alignment horizontal="left" vertical="top" wrapText="1"/>
    </xf>
    <xf numFmtId="1" fontId="5" fillId="3" borderId="5" xfId="0" applyNumberFormat="1" applyFont="1" applyFill="1" applyBorder="1" applyAlignment="1">
      <alignment horizontal="left" vertical="top" wrapText="1"/>
    </xf>
    <xf numFmtId="0" fontId="5" fillId="0" borderId="5" xfId="0" quotePrefix="1" applyFont="1" applyBorder="1" applyAlignment="1">
      <alignment horizontal="left" vertical="top" wrapText="1"/>
    </xf>
    <xf numFmtId="0" fontId="4" fillId="0" borderId="5" xfId="0" applyFont="1" applyBorder="1" applyAlignment="1">
      <alignment horizontal="left" vertical="top" textRotation="180" wrapText="1"/>
    </xf>
    <xf numFmtId="0" fontId="5" fillId="0" borderId="5" xfId="0" applyFont="1" applyBorder="1" applyAlignment="1">
      <alignment horizontal="left" vertical="top" textRotation="180" wrapText="1"/>
    </xf>
    <xf numFmtId="0" fontId="4" fillId="0" borderId="5" xfId="0" applyFont="1" applyBorder="1" applyAlignment="1">
      <alignment vertical="top" textRotation="180" wrapText="1"/>
    </xf>
    <xf numFmtId="0" fontId="5" fillId="0" borderId="5" xfId="0" applyFont="1" applyBorder="1" applyAlignment="1">
      <alignment vertical="top" textRotation="180" wrapText="1"/>
    </xf>
    <xf numFmtId="0" fontId="5" fillId="0" borderId="5" xfId="0" applyFont="1" applyBorder="1" applyAlignment="1">
      <alignment vertical="top" wrapText="1"/>
    </xf>
    <xf numFmtId="1" fontId="5" fillId="0" borderId="5" xfId="0" applyNumberFormat="1" applyFont="1" applyBorder="1" applyAlignment="1">
      <alignment vertical="top" wrapText="1"/>
    </xf>
    <xf numFmtId="1" fontId="5" fillId="0" borderId="5" xfId="0" applyNumberFormat="1" applyFont="1" applyBorder="1" applyAlignment="1">
      <alignment vertical="top" textRotation="180" wrapText="1"/>
    </xf>
    <xf numFmtId="0" fontId="5" fillId="4" borderId="5" xfId="0" applyFont="1" applyFill="1" applyBorder="1" applyAlignment="1">
      <alignment horizontal="left" vertical="top" wrapText="1"/>
    </xf>
    <xf numFmtId="1" fontId="5" fillId="4" borderId="5" xfId="0" applyNumberFormat="1" applyFont="1" applyFill="1" applyBorder="1" applyAlignment="1">
      <alignment horizontal="left" vertical="top" wrapText="1"/>
    </xf>
    <xf numFmtId="0" fontId="4" fillId="4" borderId="5" xfId="0" applyFont="1" applyFill="1" applyBorder="1" applyAlignment="1">
      <alignment horizontal="left" vertical="top" wrapText="1"/>
    </xf>
    <xf numFmtId="0" fontId="5" fillId="4" borderId="5" xfId="0" quotePrefix="1" applyFont="1" applyFill="1" applyBorder="1" applyAlignment="1">
      <alignment horizontal="left" vertical="top" wrapText="1"/>
    </xf>
    <xf numFmtId="0" fontId="6" fillId="2" borderId="3" xfId="0" applyFont="1" applyFill="1" applyBorder="1" applyAlignment="1">
      <alignment horizontal="left" vertical="top" wrapText="1"/>
    </xf>
    <xf numFmtId="0" fontId="2" fillId="2" borderId="3" xfId="0" applyFont="1" applyFill="1" applyBorder="1" applyAlignment="1">
      <alignment horizontal="left" vertical="top" wrapText="1"/>
    </xf>
    <xf numFmtId="1" fontId="2" fillId="0" borderId="5" xfId="0" applyNumberFormat="1" applyFont="1" applyBorder="1" applyAlignment="1">
      <alignment horizontal="center" vertical="top" shrinkToFit="1"/>
    </xf>
    <xf numFmtId="0" fontId="2" fillId="0" borderId="1" xfId="0" applyFont="1" applyBorder="1" applyAlignment="1">
      <alignment horizontal="center" wrapText="1"/>
    </xf>
    <xf numFmtId="0" fontId="2" fillId="2" borderId="9" xfId="0" applyFont="1" applyFill="1" applyBorder="1" applyAlignment="1">
      <alignment horizontal="left" vertical="top" wrapText="1"/>
    </xf>
    <xf numFmtId="1" fontId="2" fillId="0" borderId="6" xfId="0" applyNumberFormat="1" applyFont="1" applyBorder="1" applyAlignment="1">
      <alignment horizontal="center" vertical="top" shrinkToFit="1"/>
    </xf>
    <xf numFmtId="0" fontId="2" fillId="0" borderId="5" xfId="0" applyFont="1" applyBorder="1" applyAlignment="1">
      <alignment horizontal="center" vertical="center" wrapText="1"/>
    </xf>
    <xf numFmtId="0" fontId="2" fillId="2" borderId="5" xfId="0" applyFont="1" applyFill="1" applyBorder="1" applyAlignment="1">
      <alignment horizontal="left" vertical="top" wrapText="1"/>
    </xf>
    <xf numFmtId="0" fontId="2" fillId="0" borderId="5" xfId="0" applyFont="1" applyBorder="1" applyAlignment="1">
      <alignment horizontal="center" wrapText="1"/>
    </xf>
    <xf numFmtId="0" fontId="4" fillId="6" borderId="7" xfId="0" applyFont="1" applyFill="1" applyBorder="1" applyAlignment="1">
      <alignment horizontal="left" vertical="top"/>
    </xf>
    <xf numFmtId="0" fontId="5" fillId="6" borderId="5" xfId="0" applyFont="1" applyFill="1" applyBorder="1" applyAlignment="1">
      <alignment horizontal="left" vertical="top" wrapText="1"/>
    </xf>
    <xf numFmtId="1" fontId="5" fillId="6" borderId="5" xfId="0" applyNumberFormat="1" applyFont="1" applyFill="1" applyBorder="1" applyAlignment="1">
      <alignment horizontal="left" vertical="top" wrapText="1"/>
    </xf>
    <xf numFmtId="0" fontId="5" fillId="6" borderId="5" xfId="0" applyFont="1" applyFill="1" applyBorder="1" applyAlignment="1">
      <alignment vertical="top" textRotation="180" wrapText="1"/>
    </xf>
    <xf numFmtId="0" fontId="5" fillId="6" borderId="5" xfId="0" applyFont="1" applyFill="1" applyBorder="1" applyAlignment="1">
      <alignment vertical="top" wrapText="1"/>
    </xf>
    <xf numFmtId="1" fontId="5" fillId="6" borderId="5" xfId="0" applyNumberFormat="1" applyFont="1" applyFill="1" applyBorder="1" applyAlignment="1">
      <alignment vertical="top" wrapText="1"/>
    </xf>
    <xf numFmtId="1" fontId="5" fillId="6" borderId="5" xfId="0" applyNumberFormat="1" applyFont="1" applyFill="1" applyBorder="1" applyAlignment="1">
      <alignment vertical="top" textRotation="180" wrapText="1"/>
    </xf>
    <xf numFmtId="0" fontId="0" fillId="6" borderId="0" xfId="0" applyFill="1"/>
    <xf numFmtId="0" fontId="5" fillId="6" borderId="7" xfId="0" applyFont="1" applyFill="1" applyBorder="1" applyAlignment="1">
      <alignment horizontal="left" vertical="top" wrapText="1"/>
    </xf>
    <xf numFmtId="0" fontId="5" fillId="6" borderId="5" xfId="0" quotePrefix="1" applyFont="1" applyFill="1" applyBorder="1" applyAlignment="1">
      <alignment horizontal="left" vertical="top" wrapText="1"/>
    </xf>
    <xf numFmtId="0" fontId="4" fillId="6" borderId="5" xfId="0" applyFont="1" applyFill="1" applyBorder="1" applyAlignment="1">
      <alignment horizontal="left" vertical="top" wrapText="1"/>
    </xf>
    <xf numFmtId="0" fontId="2" fillId="6" borderId="4" xfId="0" applyFont="1" applyFill="1" applyBorder="1" applyAlignment="1">
      <alignment horizontal="center" vertical="center" wrapText="1"/>
    </xf>
    <xf numFmtId="0" fontId="2" fillId="7" borderId="4" xfId="0" applyFont="1" applyFill="1" applyBorder="1" applyAlignment="1">
      <alignment horizontal="left" vertical="top" wrapText="1"/>
    </xf>
    <xf numFmtId="1" fontId="2" fillId="6" borderId="4" xfId="0" applyNumberFormat="1" applyFont="1" applyFill="1" applyBorder="1" applyAlignment="1">
      <alignment horizontal="center" vertical="top" shrinkToFit="1"/>
    </xf>
    <xf numFmtId="0" fontId="4" fillId="6" borderId="5" xfId="0" applyFont="1" applyFill="1" applyBorder="1" applyAlignment="1">
      <alignment horizontal="left" vertical="top" textRotation="180" wrapText="1"/>
    </xf>
    <xf numFmtId="0" fontId="2" fillId="6" borderId="1" xfId="0" applyFont="1" applyFill="1" applyBorder="1" applyAlignment="1">
      <alignment horizontal="center" wrapText="1"/>
    </xf>
    <xf numFmtId="0" fontId="2" fillId="7" borderId="9" xfId="0" applyFont="1" applyFill="1" applyBorder="1" applyAlignment="1">
      <alignment horizontal="left" vertical="top" wrapText="1"/>
    </xf>
    <xf numFmtId="1" fontId="2" fillId="6" borderId="6" xfId="0" applyNumberFormat="1" applyFont="1" applyFill="1" applyBorder="1" applyAlignment="1">
      <alignment horizontal="center" vertical="top" shrinkToFit="1"/>
    </xf>
    <xf numFmtId="0" fontId="2" fillId="8" borderId="3" xfId="0" applyFont="1" applyFill="1" applyBorder="1" applyAlignment="1">
      <alignment horizontal="left" vertical="top" wrapText="1"/>
    </xf>
    <xf numFmtId="0" fontId="2" fillId="8" borderId="5" xfId="0" applyFont="1" applyFill="1" applyBorder="1" applyAlignment="1">
      <alignment horizontal="left" vertical="top" wrapText="1"/>
    </xf>
    <xf numFmtId="0" fontId="7" fillId="0" borderId="0" xfId="0" applyFont="1"/>
    <xf numFmtId="0" fontId="8" fillId="0" borderId="0" xfId="0" applyFont="1"/>
    <xf numFmtId="0" fontId="8" fillId="7" borderId="3" xfId="0" applyFont="1" applyFill="1" applyBorder="1" applyAlignment="1">
      <alignment horizontal="left" vertical="top" wrapText="1"/>
    </xf>
    <xf numFmtId="1" fontId="8" fillId="6" borderId="5" xfId="0" applyNumberFormat="1" applyFont="1" applyFill="1" applyBorder="1" applyAlignment="1">
      <alignment horizontal="center" vertical="top" shrinkToFit="1"/>
    </xf>
    <xf numFmtId="0" fontId="8" fillId="6" borderId="5" xfId="0" applyFont="1" applyFill="1" applyBorder="1" applyAlignment="1">
      <alignment horizontal="center" vertical="center"/>
    </xf>
    <xf numFmtId="0" fontId="8" fillId="6" borderId="5" xfId="0" applyFont="1" applyFill="1" applyBorder="1"/>
    <xf numFmtId="1" fontId="8" fillId="0" borderId="5" xfId="0" applyNumberFormat="1" applyFont="1" applyBorder="1" applyAlignment="1">
      <alignment horizontal="center" vertical="top" shrinkToFit="1"/>
    </xf>
    <xf numFmtId="0" fontId="7" fillId="6" borderId="5" xfId="0" applyFont="1" applyFill="1" applyBorder="1"/>
    <xf numFmtId="0" fontId="8" fillId="8" borderId="5" xfId="0" applyFont="1" applyFill="1" applyBorder="1" applyAlignment="1">
      <alignment horizontal="left" vertical="top" wrapText="1"/>
    </xf>
    <xf numFmtId="0" fontId="8" fillId="8" borderId="3" xfId="0" applyFont="1" applyFill="1" applyBorder="1" applyAlignment="1">
      <alignment horizontal="left" vertical="top" wrapText="1"/>
    </xf>
    <xf numFmtId="1" fontId="8" fillId="3" borderId="5" xfId="0" applyNumberFormat="1" applyFont="1" applyFill="1" applyBorder="1" applyAlignment="1">
      <alignment horizontal="center" vertical="top" shrinkToFit="1"/>
    </xf>
    <xf numFmtId="0" fontId="8" fillId="3" borderId="5" xfId="0" applyFont="1" applyFill="1" applyBorder="1" applyAlignment="1">
      <alignment horizontal="center" wrapText="1"/>
    </xf>
    <xf numFmtId="0" fontId="8" fillId="9" borderId="5" xfId="0" applyFont="1" applyFill="1" applyBorder="1" applyAlignment="1">
      <alignment horizontal="left" vertical="center" wrapText="1"/>
    </xf>
    <xf numFmtId="1" fontId="8" fillId="3" borderId="5" xfId="0" applyNumberFormat="1" applyFont="1" applyFill="1" applyBorder="1" applyAlignment="1">
      <alignment horizontal="center" vertical="center" shrinkToFit="1"/>
    </xf>
    <xf numFmtId="0" fontId="8" fillId="3" borderId="5" xfId="0" applyFont="1" applyFill="1" applyBorder="1" applyAlignment="1">
      <alignment horizontal="center" vertical="center" wrapText="1"/>
    </xf>
    <xf numFmtId="0" fontId="8" fillId="3" borderId="5" xfId="0" applyFont="1" applyFill="1" applyBorder="1" applyAlignment="1">
      <alignment horizontal="left" vertical="top" wrapText="1"/>
    </xf>
    <xf numFmtId="0" fontId="8" fillId="10" borderId="5" xfId="0" applyFont="1" applyFill="1" applyBorder="1" applyAlignment="1">
      <alignment horizontal="left" vertical="top" wrapText="1"/>
    </xf>
    <xf numFmtId="0" fontId="8" fillId="12" borderId="5" xfId="0" applyFont="1" applyFill="1" applyBorder="1" applyAlignment="1">
      <alignment horizontal="center" vertical="center" wrapText="1"/>
    </xf>
    <xf numFmtId="0" fontId="8" fillId="12" borderId="5" xfId="0" applyFont="1" applyFill="1" applyBorder="1" applyAlignment="1">
      <alignment horizontal="left" vertical="top" wrapText="1"/>
    </xf>
    <xf numFmtId="0" fontId="8" fillId="12" borderId="5" xfId="0" applyFont="1" applyFill="1" applyBorder="1" applyAlignment="1">
      <alignment horizontal="center" vertical="top" wrapText="1"/>
    </xf>
    <xf numFmtId="0" fontId="8" fillId="13" borderId="5" xfId="0" applyFont="1" applyFill="1" applyBorder="1" applyAlignment="1">
      <alignment horizontal="left" vertical="top" wrapText="1"/>
    </xf>
    <xf numFmtId="0" fontId="9" fillId="4" borderId="5" xfId="0" applyFont="1" applyFill="1" applyBorder="1"/>
    <xf numFmtId="0" fontId="7" fillId="4" borderId="5" xfId="0" applyFont="1" applyFill="1" applyBorder="1"/>
    <xf numFmtId="0" fontId="8" fillId="7" borderId="2" xfId="0" applyFont="1" applyFill="1" applyBorder="1" applyAlignment="1">
      <alignment horizontal="left" vertical="top" wrapText="1"/>
    </xf>
    <xf numFmtId="0" fontId="8" fillId="16" borderId="3" xfId="0" applyFont="1" applyFill="1" applyBorder="1" applyAlignment="1">
      <alignment horizontal="left" vertical="top" wrapText="1"/>
    </xf>
    <xf numFmtId="1" fontId="8" fillId="15" borderId="5" xfId="0" applyNumberFormat="1" applyFont="1" applyFill="1" applyBorder="1" applyAlignment="1">
      <alignment horizontal="center" vertical="top" shrinkToFit="1"/>
    </xf>
    <xf numFmtId="0" fontId="7" fillId="15" borderId="5" xfId="0" applyFont="1" applyFill="1" applyBorder="1"/>
    <xf numFmtId="0" fontId="8" fillId="15" borderId="5" xfId="0" applyFont="1" applyFill="1" applyBorder="1" applyAlignment="1">
      <alignment horizontal="center" vertical="center"/>
    </xf>
    <xf numFmtId="0" fontId="8" fillId="15" borderId="5" xfId="0" applyFont="1" applyFill="1" applyBorder="1"/>
    <xf numFmtId="0" fontId="8" fillId="16" borderId="5" xfId="0" applyFont="1" applyFill="1" applyBorder="1" applyAlignment="1">
      <alignment horizontal="left" vertical="top" wrapText="1"/>
    </xf>
    <xf numFmtId="1" fontId="8" fillId="15" borderId="6" xfId="0" applyNumberFormat="1" applyFont="1" applyFill="1" applyBorder="1" applyAlignment="1">
      <alignment horizontal="center" vertical="top" shrinkToFit="1"/>
    </xf>
    <xf numFmtId="0" fontId="8" fillId="15" borderId="6" xfId="0" applyFont="1" applyFill="1" applyBorder="1" applyAlignment="1">
      <alignment horizontal="center" vertical="center"/>
    </xf>
    <xf numFmtId="0" fontId="8" fillId="0" borderId="2" xfId="0" applyFont="1" applyBorder="1" applyAlignment="1">
      <alignment horizontal="center" vertical="center" wrapText="1"/>
    </xf>
    <xf numFmtId="0" fontId="7" fillId="3" borderId="5" xfId="0" applyFont="1" applyFill="1" applyBorder="1"/>
    <xf numFmtId="0" fontId="7" fillId="14" borderId="5" xfId="0" applyFont="1" applyFill="1" applyBorder="1"/>
    <xf numFmtId="0" fontId="8" fillId="14" borderId="5" xfId="0" applyFont="1" applyFill="1" applyBorder="1" applyAlignment="1">
      <alignment horizontal="center" vertical="center"/>
    </xf>
    <xf numFmtId="0" fontId="9" fillId="3" borderId="5" xfId="0" applyFont="1" applyFill="1" applyBorder="1"/>
    <xf numFmtId="0" fontId="9" fillId="12" borderId="5" xfId="0" applyFont="1" applyFill="1" applyBorder="1"/>
    <xf numFmtId="0" fontId="7" fillId="12" borderId="5" xfId="0" applyFont="1" applyFill="1" applyBorder="1"/>
    <xf numFmtId="0" fontId="10" fillId="0" borderId="11" xfId="0" applyFont="1" applyBorder="1" applyAlignment="1">
      <alignment horizontal="center"/>
    </xf>
    <xf numFmtId="0" fontId="8" fillId="4" borderId="5" xfId="0" applyFont="1" applyFill="1" applyBorder="1" applyAlignment="1">
      <alignment horizontal="center" vertical="center" wrapText="1"/>
    </xf>
    <xf numFmtId="0" fontId="8" fillId="4" borderId="5" xfId="0" applyFont="1" applyFill="1" applyBorder="1" applyAlignment="1">
      <alignment horizontal="center" wrapText="1"/>
    </xf>
    <xf numFmtId="0" fontId="8" fillId="17" borderId="5" xfId="0" applyFont="1" applyFill="1" applyBorder="1" applyAlignment="1">
      <alignment horizontal="left" vertical="top" wrapText="1"/>
    </xf>
    <xf numFmtId="1" fontId="8" fillId="4" borderId="5" xfId="0" applyNumberFormat="1" applyFont="1" applyFill="1" applyBorder="1" applyAlignment="1">
      <alignment horizontal="center" vertical="top" shrinkToFit="1"/>
    </xf>
    <xf numFmtId="0" fontId="8" fillId="4" borderId="5" xfId="0" applyFont="1" applyFill="1" applyBorder="1" applyAlignment="1">
      <alignment horizontal="center" vertical="top" wrapText="1"/>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22" xfId="0"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vertical="center"/>
    </xf>
    <xf numFmtId="0" fontId="12" fillId="0" borderId="5" xfId="0" applyFont="1" applyBorder="1" applyAlignment="1">
      <alignment vertical="center"/>
    </xf>
    <xf numFmtId="0" fontId="6" fillId="0" borderId="5" xfId="0" applyFont="1" applyBorder="1"/>
    <xf numFmtId="0" fontId="12" fillId="0" borderId="21" xfId="0" applyFont="1" applyBorder="1" applyAlignment="1">
      <alignment vertical="center" wrapText="1"/>
    </xf>
    <xf numFmtId="0" fontId="6" fillId="0" borderId="19" xfId="0" applyFont="1" applyBorder="1" applyAlignment="1">
      <alignment vertical="center" wrapText="1"/>
    </xf>
    <xf numFmtId="0" fontId="6" fillId="3" borderId="5" xfId="0" applyFont="1" applyFill="1" applyBorder="1" applyAlignment="1">
      <alignment vertical="center"/>
    </xf>
    <xf numFmtId="0" fontId="6" fillId="3" borderId="21" xfId="0" applyFont="1" applyFill="1" applyBorder="1" applyAlignment="1">
      <alignment horizontal="left" vertical="center" wrapText="1" indent="2"/>
    </xf>
    <xf numFmtId="0" fontId="8" fillId="3" borderId="5" xfId="0" applyFont="1" applyFill="1" applyBorder="1" applyAlignment="1">
      <alignment horizontal="center" vertical="center"/>
    </xf>
    <xf numFmtId="0" fontId="8" fillId="3" borderId="5" xfId="0" applyFont="1" applyFill="1" applyBorder="1"/>
    <xf numFmtId="1" fontId="8" fillId="18" borderId="5" xfId="0" applyNumberFormat="1" applyFont="1" applyFill="1" applyBorder="1" applyAlignment="1">
      <alignment horizontal="center" vertical="top" shrinkToFit="1"/>
    </xf>
    <xf numFmtId="0" fontId="8" fillId="18" borderId="5" xfId="0" applyFont="1" applyFill="1" applyBorder="1" applyAlignment="1">
      <alignment horizontal="center" vertical="center"/>
    </xf>
    <xf numFmtId="0" fontId="8" fillId="18" borderId="5" xfId="0" applyFont="1" applyFill="1" applyBorder="1"/>
    <xf numFmtId="0" fontId="8" fillId="4" borderId="5" xfId="0" applyFont="1" applyFill="1" applyBorder="1" applyAlignment="1">
      <alignment horizontal="center" vertical="center"/>
    </xf>
    <xf numFmtId="0" fontId="8" fillId="4" borderId="5" xfId="0" applyFont="1" applyFill="1" applyBorder="1"/>
    <xf numFmtId="0" fontId="7" fillId="18" borderId="5" xfId="0" applyFont="1" applyFill="1" applyBorder="1"/>
    <xf numFmtId="0" fontId="8" fillId="7" borderId="5" xfId="0" applyFont="1" applyFill="1" applyBorder="1" applyAlignment="1">
      <alignment horizontal="left" vertical="top" wrapText="1"/>
    </xf>
    <xf numFmtId="0" fontId="8" fillId="4" borderId="5" xfId="0" applyFont="1" applyFill="1" applyBorder="1" applyAlignment="1">
      <alignment horizontal="left" vertical="center" wrapText="1"/>
    </xf>
    <xf numFmtId="1" fontId="8" fillId="4" borderId="5" xfId="0" applyNumberFormat="1" applyFont="1" applyFill="1" applyBorder="1" applyAlignment="1">
      <alignment horizontal="center" vertical="center" shrinkToFit="1"/>
    </xf>
    <xf numFmtId="0" fontId="8" fillId="5" borderId="5" xfId="0" applyFont="1" applyFill="1" applyBorder="1" applyAlignment="1">
      <alignment horizontal="left" vertical="top" wrapText="1"/>
    </xf>
    <xf numFmtId="0" fontId="8" fillId="3" borderId="6" xfId="0" applyFont="1" applyFill="1" applyBorder="1" applyAlignment="1">
      <alignment horizontal="center" vertical="center"/>
    </xf>
    <xf numFmtId="1" fontId="8" fillId="20" borderId="5" xfId="0" applyNumberFormat="1" applyFont="1" applyFill="1" applyBorder="1" applyAlignment="1">
      <alignment horizontal="center" vertical="top" shrinkToFit="1"/>
    </xf>
    <xf numFmtId="0" fontId="8" fillId="20" borderId="5" xfId="0" applyFont="1" applyFill="1" applyBorder="1" applyAlignment="1">
      <alignment horizontal="center" vertical="top" wrapText="1"/>
    </xf>
    <xf numFmtId="0" fontId="7" fillId="20" borderId="5" xfId="0" applyFont="1" applyFill="1" applyBorder="1"/>
    <xf numFmtId="0" fontId="8" fillId="20" borderId="6" xfId="0" applyFont="1" applyFill="1" applyBorder="1" applyAlignment="1">
      <alignment horizontal="center" vertical="center"/>
    </xf>
    <xf numFmtId="0" fontId="9" fillId="24" borderId="5" xfId="0" applyFont="1" applyFill="1" applyBorder="1"/>
    <xf numFmtId="0" fontId="8" fillId="24" borderId="5" xfId="0" applyFont="1" applyFill="1" applyBorder="1"/>
    <xf numFmtId="0" fontId="8" fillId="24" borderId="5" xfId="0" applyFont="1" applyFill="1" applyBorder="1" applyAlignment="1">
      <alignment horizontal="left" vertical="top" wrapText="1"/>
    </xf>
    <xf numFmtId="0" fontId="8" fillId="15" borderId="23" xfId="0" applyFont="1" applyFill="1" applyBorder="1" applyAlignment="1">
      <alignment horizontal="center" wrapText="1"/>
    </xf>
    <xf numFmtId="0" fontId="8" fillId="15" borderId="23" xfId="0" applyFont="1" applyFill="1" applyBorder="1" applyAlignment="1">
      <alignment horizontal="center" vertical="center" wrapText="1"/>
    </xf>
    <xf numFmtId="0" fontId="8" fillId="6" borderId="23" xfId="0" applyFont="1" applyFill="1" applyBorder="1" applyAlignment="1">
      <alignment horizontal="center"/>
    </xf>
    <xf numFmtId="0" fontId="8" fillId="15" borderId="12" xfId="0" applyFont="1" applyFill="1" applyBorder="1" applyAlignment="1">
      <alignment horizontal="center" vertical="center" wrapText="1"/>
    </xf>
    <xf numFmtId="0" fontId="8" fillId="15" borderId="12" xfId="0" applyFont="1" applyFill="1" applyBorder="1" applyAlignment="1">
      <alignment horizontal="center" wrapText="1"/>
    </xf>
    <xf numFmtId="0" fontId="8" fillId="3" borderId="12" xfId="0" applyFont="1" applyFill="1" applyBorder="1" applyAlignment="1">
      <alignment horizontal="center" vertical="center" wrapText="1"/>
    </xf>
    <xf numFmtId="0" fontId="8" fillId="12" borderId="5" xfId="0" applyFont="1" applyFill="1" applyBorder="1" applyAlignment="1">
      <alignment horizontal="center" vertical="center"/>
    </xf>
    <xf numFmtId="0" fontId="8" fillId="15" borderId="24" xfId="0" applyFont="1" applyFill="1" applyBorder="1" applyAlignment="1">
      <alignment horizontal="center" vertical="center" wrapText="1"/>
    </xf>
    <xf numFmtId="0" fontId="8" fillId="25" borderId="5" xfId="0" applyFont="1" applyFill="1" applyBorder="1" applyAlignment="1">
      <alignment horizontal="center" vertical="center"/>
    </xf>
    <xf numFmtId="0" fontId="8" fillId="4" borderId="12" xfId="0" applyFont="1" applyFill="1" applyBorder="1" applyAlignment="1">
      <alignment horizontal="center" wrapText="1"/>
    </xf>
    <xf numFmtId="0" fontId="8" fillId="14" borderId="12" xfId="0" applyFont="1" applyFill="1" applyBorder="1" applyAlignment="1">
      <alignment horizontal="center" vertical="center"/>
    </xf>
    <xf numFmtId="0" fontId="8" fillId="25" borderId="12" xfId="0" applyFont="1" applyFill="1" applyBorder="1" applyAlignment="1">
      <alignment horizontal="center" wrapText="1"/>
    </xf>
    <xf numFmtId="0" fontId="8" fillId="26" borderId="5" xfId="0" applyFont="1" applyFill="1" applyBorder="1" applyAlignment="1">
      <alignment horizontal="left" vertical="top" wrapText="1"/>
    </xf>
    <xf numFmtId="0" fontId="7" fillId="25" borderId="5" xfId="0" applyFont="1" applyFill="1" applyBorder="1"/>
    <xf numFmtId="0" fontId="0" fillId="3" borderId="5" xfId="0" applyFill="1" applyBorder="1"/>
    <xf numFmtId="0" fontId="8" fillId="3" borderId="23" xfId="0" applyFont="1" applyFill="1" applyBorder="1" applyAlignment="1">
      <alignment horizontal="center" wrapText="1"/>
    </xf>
    <xf numFmtId="0" fontId="0" fillId="12" borderId="5" xfId="0" applyFill="1" applyBorder="1"/>
    <xf numFmtId="0" fontId="0" fillId="4" borderId="5" xfId="0" applyFill="1" applyBorder="1"/>
    <xf numFmtId="0" fontId="8" fillId="4" borderId="12" xfId="0" applyFont="1" applyFill="1" applyBorder="1" applyAlignment="1">
      <alignment horizontal="center" vertical="center"/>
    </xf>
    <xf numFmtId="0" fontId="8" fillId="4" borderId="5" xfId="0" applyFont="1" applyFill="1" applyBorder="1" applyAlignment="1">
      <alignment horizontal="left" vertical="center"/>
    </xf>
    <xf numFmtId="0" fontId="8" fillId="14" borderId="6" xfId="0" applyFont="1" applyFill="1" applyBorder="1" applyAlignment="1">
      <alignment horizontal="center" vertical="center"/>
    </xf>
    <xf numFmtId="0" fontId="13" fillId="3" borderId="5" xfId="0" applyFont="1" applyFill="1" applyBorder="1"/>
    <xf numFmtId="0" fontId="13" fillId="12" borderId="5" xfId="0" applyFont="1" applyFill="1" applyBorder="1"/>
    <xf numFmtId="0" fontId="13" fillId="4" borderId="5" xfId="0" applyFont="1" applyFill="1" applyBorder="1"/>
    <xf numFmtId="0" fontId="10" fillId="4" borderId="1" xfId="0" applyFont="1" applyFill="1" applyBorder="1" applyAlignment="1">
      <alignment horizontal="center"/>
    </xf>
    <xf numFmtId="0" fontId="10" fillId="4" borderId="2" xfId="0" applyFont="1" applyFill="1" applyBorder="1" applyAlignment="1">
      <alignment horizontal="center"/>
    </xf>
    <xf numFmtId="0" fontId="10" fillId="4" borderId="1" xfId="0" applyFont="1" applyFill="1" applyBorder="1"/>
    <xf numFmtId="0" fontId="7" fillId="6" borderId="0" xfId="0" applyFont="1" applyFill="1"/>
    <xf numFmtId="0" fontId="8" fillId="15" borderId="5" xfId="0" applyFont="1" applyFill="1" applyBorder="1" applyAlignment="1">
      <alignment horizontal="center"/>
    </xf>
    <xf numFmtId="0" fontId="8" fillId="3" borderId="12" xfId="0" applyFont="1" applyFill="1" applyBorder="1" applyAlignment="1">
      <alignment horizontal="center" wrapText="1"/>
    </xf>
    <xf numFmtId="0" fontId="2" fillId="3" borderId="5" xfId="0" applyFont="1" applyFill="1" applyBorder="1" applyAlignment="1">
      <alignment horizontal="left" vertical="center" wrapText="1" indent="2"/>
    </xf>
    <xf numFmtId="0" fontId="8" fillId="6" borderId="23" xfId="0" applyFont="1" applyFill="1" applyBorder="1" applyAlignment="1">
      <alignment horizontal="center" wrapText="1"/>
    </xf>
    <xf numFmtId="0" fontId="8" fillId="18" borderId="23" xfId="0" applyFont="1" applyFill="1" applyBorder="1" applyAlignment="1">
      <alignment horizontal="center"/>
    </xf>
    <xf numFmtId="0" fontId="8" fillId="18" borderId="23" xfId="0" applyFont="1" applyFill="1" applyBorder="1" applyAlignment="1">
      <alignment horizontal="center" vertical="center" wrapText="1"/>
    </xf>
    <xf numFmtId="0" fontId="8" fillId="19" borderId="3" xfId="0" applyFont="1" applyFill="1" applyBorder="1" applyAlignment="1">
      <alignment horizontal="left" vertical="top" wrapText="1"/>
    </xf>
    <xf numFmtId="0" fontId="9" fillId="24" borderId="11" xfId="0" applyFont="1" applyFill="1" applyBorder="1" applyAlignment="1">
      <alignment horizontal="left" vertical="center"/>
    </xf>
    <xf numFmtId="0" fontId="9" fillId="24" borderId="12" xfId="0" applyFont="1" applyFill="1" applyBorder="1" applyAlignment="1">
      <alignment horizontal="left" vertical="center"/>
    </xf>
    <xf numFmtId="0" fontId="10" fillId="24" borderId="11" xfId="0" applyFont="1" applyFill="1" applyBorder="1" applyAlignment="1">
      <alignment horizontal="center"/>
    </xf>
    <xf numFmtId="0" fontId="10" fillId="24" borderId="12" xfId="0" applyFont="1" applyFill="1" applyBorder="1" applyAlignment="1">
      <alignment horizontal="center"/>
    </xf>
    <xf numFmtId="0" fontId="10" fillId="0" borderId="15" xfId="0" applyFont="1" applyBorder="1" applyAlignment="1">
      <alignment horizontal="center"/>
    </xf>
    <xf numFmtId="0" fontId="10" fillId="0" borderId="12" xfId="0" applyFont="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10" fillId="12" borderId="11" xfId="0" applyFont="1" applyFill="1" applyBorder="1" applyAlignment="1">
      <alignment horizontal="center"/>
    </xf>
    <xf numFmtId="0" fontId="10" fillId="12" borderId="12" xfId="0" applyFont="1" applyFill="1" applyBorder="1" applyAlignment="1">
      <alignment horizontal="center"/>
    </xf>
    <xf numFmtId="0" fontId="10" fillId="4" borderId="12" xfId="0" applyFont="1" applyFill="1" applyBorder="1" applyAlignment="1">
      <alignment horizontal="center"/>
    </xf>
    <xf numFmtId="0" fontId="10" fillId="4" borderId="9" xfId="0" applyFont="1" applyFill="1" applyBorder="1" applyAlignment="1">
      <alignment horizontal="center"/>
    </xf>
    <xf numFmtId="0" fontId="8" fillId="15" borderId="11" xfId="0" applyFont="1" applyFill="1" applyBorder="1"/>
    <xf numFmtId="0" fontId="8" fillId="6" borderId="11" xfId="0" applyFont="1" applyFill="1" applyBorder="1"/>
    <xf numFmtId="0" fontId="8" fillId="18" borderId="11" xfId="0" applyFont="1" applyFill="1" applyBorder="1"/>
    <xf numFmtId="0" fontId="8" fillId="3" borderId="11" xfId="0" applyFont="1" applyFill="1" applyBorder="1"/>
    <xf numFmtId="1" fontId="8" fillId="20" borderId="11" xfId="0" applyNumberFormat="1" applyFont="1" applyFill="1" applyBorder="1" applyAlignment="1">
      <alignment horizontal="center" vertical="top" shrinkToFit="1"/>
    </xf>
    <xf numFmtId="0" fontId="8" fillId="15" borderId="26" xfId="0" applyFont="1" applyFill="1" applyBorder="1"/>
    <xf numFmtId="0" fontId="8" fillId="3" borderId="11" xfId="0" applyFont="1" applyFill="1" applyBorder="1" applyAlignment="1">
      <alignment horizontal="center" vertical="center"/>
    </xf>
    <xf numFmtId="0" fontId="8" fillId="14" borderId="11" xfId="0" applyFont="1" applyFill="1" applyBorder="1" applyAlignment="1">
      <alignment horizontal="center" vertical="center"/>
    </xf>
    <xf numFmtId="1" fontId="8" fillId="25" borderId="11" xfId="0" applyNumberFormat="1" applyFont="1" applyFill="1" applyBorder="1" applyAlignment="1">
      <alignment horizontal="center" vertical="top" shrinkToFit="1"/>
    </xf>
    <xf numFmtId="0" fontId="8" fillId="20" borderId="11" xfId="0" applyFont="1" applyFill="1" applyBorder="1" applyAlignment="1">
      <alignment horizontal="center" vertical="center"/>
    </xf>
    <xf numFmtId="1" fontId="8" fillId="20" borderId="26" xfId="0" applyNumberFormat="1" applyFont="1" applyFill="1" applyBorder="1" applyAlignment="1">
      <alignment horizontal="center" vertical="top" shrinkToFit="1"/>
    </xf>
    <xf numFmtId="0" fontId="8" fillId="4" borderId="11" xfId="0" applyFont="1" applyFill="1" applyBorder="1"/>
    <xf numFmtId="0" fontId="8" fillId="4" borderId="11" xfId="0" applyFont="1" applyFill="1" applyBorder="1" applyAlignment="1">
      <alignment horizontal="center" vertical="center"/>
    </xf>
    <xf numFmtId="0" fontId="10" fillId="4" borderId="5" xfId="0" applyFont="1" applyFill="1" applyBorder="1" applyAlignment="1">
      <alignment horizontal="center"/>
    </xf>
    <xf numFmtId="0" fontId="14" fillId="20" borderId="5" xfId="0" applyFont="1" applyFill="1" applyBorder="1" applyAlignment="1">
      <alignment horizontal="center" vertical="center"/>
    </xf>
    <xf numFmtId="0" fontId="0" fillId="0" borderId="5" xfId="0" applyBorder="1" applyAlignment="1">
      <alignment horizontal="center"/>
    </xf>
    <xf numFmtId="0" fontId="15" fillId="27" borderId="5" xfId="0" applyFont="1" applyFill="1" applyBorder="1" applyAlignment="1">
      <alignment horizontal="left" vertical="center"/>
    </xf>
    <xf numFmtId="0" fontId="16" fillId="0" borderId="5" xfId="0" applyFont="1" applyBorder="1" applyAlignment="1">
      <alignment horizontal="center" vertical="center" wrapText="1"/>
    </xf>
    <xf numFmtId="0" fontId="15" fillId="28" borderId="5" xfId="0" applyFont="1" applyFill="1" applyBorder="1" applyAlignment="1">
      <alignment horizontal="left" vertical="center"/>
    </xf>
    <xf numFmtId="0" fontId="15" fillId="28" borderId="5" xfId="0" applyFont="1" applyFill="1" applyBorder="1" applyAlignment="1">
      <alignment horizontal="left"/>
    </xf>
    <xf numFmtId="0" fontId="0" fillId="27" borderId="5" xfId="0" applyFill="1" applyBorder="1"/>
    <xf numFmtId="0" fontId="17" fillId="0" borderId="5" xfId="0" applyFont="1" applyBorder="1"/>
    <xf numFmtId="1" fontId="8" fillId="25" borderId="5" xfId="0" applyNumberFormat="1" applyFont="1" applyFill="1" applyBorder="1" applyAlignment="1">
      <alignment horizontal="left" vertical="top" shrinkToFit="1"/>
    </xf>
    <xf numFmtId="1" fontId="8" fillId="20" borderId="5" xfId="0" applyNumberFormat="1" applyFont="1" applyFill="1" applyBorder="1" applyAlignment="1">
      <alignment horizontal="left" vertical="top" shrinkToFit="1"/>
    </xf>
    <xf numFmtId="0" fontId="15" fillId="28" borderId="5" xfId="0" applyFont="1" applyFill="1" applyBorder="1"/>
    <xf numFmtId="0" fontId="7" fillId="0" borderId="5" xfId="0" applyFont="1" applyBorder="1" applyAlignment="1">
      <alignment horizontal="center"/>
    </xf>
    <xf numFmtId="0" fontId="8" fillId="20" borderId="5" xfId="0" applyFont="1" applyFill="1" applyBorder="1" applyAlignment="1">
      <alignment horizontal="left" vertical="center"/>
    </xf>
    <xf numFmtId="0" fontId="8" fillId="15" borderId="6" xfId="0" applyFont="1" applyFill="1" applyBorder="1"/>
    <xf numFmtId="0" fontId="2" fillId="0" borderId="21" xfId="0" applyFont="1" applyBorder="1" applyAlignment="1">
      <alignment horizontal="left" vertical="center" wrapText="1" indent="2"/>
    </xf>
    <xf numFmtId="0" fontId="2" fillId="0" borderId="5" xfId="0" applyFont="1" applyBorder="1" applyAlignment="1">
      <alignment vertical="center" wrapText="1"/>
    </xf>
    <xf numFmtId="0" fontId="2" fillId="0" borderId="21" xfId="0" applyFont="1" applyBorder="1" applyAlignment="1">
      <alignment vertical="center" wrapText="1"/>
    </xf>
    <xf numFmtId="0" fontId="8" fillId="9" borderId="5" xfId="0" applyFont="1" applyFill="1" applyBorder="1" applyAlignment="1">
      <alignment horizontal="left" vertical="top" wrapText="1"/>
    </xf>
    <xf numFmtId="0" fontId="13" fillId="15" borderId="5" xfId="0" applyFont="1" applyFill="1" applyBorder="1"/>
    <xf numFmtId="0" fontId="8" fillId="3" borderId="6" xfId="0" applyFont="1" applyFill="1" applyBorder="1" applyAlignment="1">
      <alignment horizontal="center" vertical="top" wrapText="1"/>
    </xf>
    <xf numFmtId="0" fontId="8" fillId="5" borderId="3" xfId="0" applyFont="1" applyFill="1" applyBorder="1" applyAlignment="1">
      <alignment horizontal="left" vertical="top" wrapText="1"/>
    </xf>
    <xf numFmtId="0" fontId="8" fillId="16" borderId="9" xfId="0" applyFont="1" applyFill="1" applyBorder="1" applyAlignment="1">
      <alignment horizontal="left" vertical="top" wrapText="1"/>
    </xf>
    <xf numFmtId="0" fontId="7" fillId="15" borderId="6" xfId="0" applyFont="1" applyFill="1" applyBorder="1"/>
    <xf numFmtId="0" fontId="7" fillId="0" borderId="0" xfId="0" applyFont="1" applyAlignment="1">
      <alignment horizontal="right"/>
    </xf>
    <xf numFmtId="16" fontId="7" fillId="0" borderId="0" xfId="0" applyNumberFormat="1" applyFont="1"/>
    <xf numFmtId="1" fontId="8" fillId="15" borderId="5" xfId="0" applyNumberFormat="1" applyFont="1" applyFill="1" applyBorder="1" applyAlignment="1">
      <alignment horizontal="left" vertical="top" shrinkToFit="1"/>
    </xf>
    <xf numFmtId="1" fontId="8" fillId="15" borderId="11" xfId="0" applyNumberFormat="1" applyFont="1" applyFill="1" applyBorder="1" applyAlignment="1">
      <alignment horizontal="center" vertical="top" shrinkToFit="1"/>
    </xf>
    <xf numFmtId="0" fontId="8" fillId="14" borderId="12" xfId="0" applyFont="1" applyFill="1" applyBorder="1" applyAlignment="1">
      <alignment horizontal="center"/>
    </xf>
    <xf numFmtId="1" fontId="10" fillId="3" borderId="5" xfId="0" applyNumberFormat="1" applyFont="1" applyFill="1" applyBorder="1" applyAlignment="1">
      <alignment horizontal="center"/>
    </xf>
    <xf numFmtId="0" fontId="0" fillId="0" borderId="5" xfId="0" applyBorder="1"/>
    <xf numFmtId="1" fontId="10" fillId="12" borderId="5" xfId="0" applyNumberFormat="1" applyFont="1" applyFill="1" applyBorder="1" applyAlignment="1">
      <alignment horizontal="center"/>
    </xf>
    <xf numFmtId="1" fontId="10" fillId="4" borderId="5" xfId="0" applyNumberFormat="1" applyFont="1" applyFill="1" applyBorder="1" applyAlignment="1">
      <alignment horizontal="center"/>
    </xf>
    <xf numFmtId="0" fontId="8" fillId="4" borderId="12" xfId="0" applyFont="1" applyFill="1" applyBorder="1" applyAlignment="1">
      <alignment horizontal="left" vertical="top" wrapText="1"/>
    </xf>
    <xf numFmtId="0" fontId="8" fillId="11" borderId="12" xfId="0" applyFont="1" applyFill="1" applyBorder="1" applyAlignment="1">
      <alignment horizontal="left" vertical="top" wrapText="1"/>
    </xf>
    <xf numFmtId="0" fontId="8" fillId="17" borderId="12" xfId="0" applyFont="1" applyFill="1" applyBorder="1" applyAlignment="1">
      <alignment horizontal="left" vertical="top" wrapText="1"/>
    </xf>
    <xf numFmtId="0" fontId="10" fillId="3" borderId="28" xfId="0" applyFont="1" applyFill="1" applyBorder="1" applyAlignment="1">
      <alignment horizontal="center"/>
    </xf>
    <xf numFmtId="0" fontId="8" fillId="16" borderId="11" xfId="0" applyFont="1" applyFill="1" applyBorder="1" applyAlignment="1">
      <alignment horizontal="left" vertical="top" wrapText="1"/>
    </xf>
    <xf numFmtId="0" fontId="8" fillId="5" borderId="11" xfId="0" applyFont="1" applyFill="1" applyBorder="1" applyAlignment="1">
      <alignment horizontal="left" vertical="top" wrapText="1"/>
    </xf>
    <xf numFmtId="0" fontId="8" fillId="7" borderId="11" xfId="0" applyFont="1" applyFill="1" applyBorder="1" applyAlignment="1">
      <alignment horizontal="left" vertical="top" wrapText="1"/>
    </xf>
    <xf numFmtId="0" fontId="8" fillId="8" borderId="11" xfId="0" applyFont="1" applyFill="1" applyBorder="1" applyAlignment="1">
      <alignment horizontal="left" vertical="top" wrapText="1"/>
    </xf>
    <xf numFmtId="0" fontId="8" fillId="15" borderId="11" xfId="0" applyFont="1" applyFill="1" applyBorder="1" applyAlignment="1">
      <alignment horizontal="left" vertical="top" wrapText="1"/>
    </xf>
    <xf numFmtId="0" fontId="8" fillId="3" borderId="11" xfId="0" applyFont="1" applyFill="1" applyBorder="1" applyAlignment="1">
      <alignment horizontal="left" vertical="top" wrapText="1"/>
    </xf>
    <xf numFmtId="0" fontId="8" fillId="26" borderId="11" xfId="0" applyFont="1" applyFill="1" applyBorder="1" applyAlignment="1">
      <alignment horizontal="left" vertical="top" wrapText="1"/>
    </xf>
    <xf numFmtId="0" fontId="8" fillId="17" borderId="11" xfId="0" applyFont="1" applyFill="1" applyBorder="1" applyAlignment="1">
      <alignment horizontal="left" vertical="top" wrapText="1"/>
    </xf>
    <xf numFmtId="0" fontId="8" fillId="4" borderId="11" xfId="0" applyFont="1" applyFill="1" applyBorder="1" applyAlignment="1">
      <alignment horizontal="left" vertical="center"/>
    </xf>
    <xf numFmtId="0" fontId="10" fillId="4" borderId="24" xfId="0" applyFont="1" applyFill="1" applyBorder="1" applyAlignment="1">
      <alignment horizontal="center"/>
    </xf>
    <xf numFmtId="1" fontId="8" fillId="15" borderId="12" xfId="0" applyNumberFormat="1" applyFont="1" applyFill="1" applyBorder="1" applyAlignment="1">
      <alignment horizontal="center" vertical="top" shrinkToFit="1"/>
    </xf>
    <xf numFmtId="1" fontId="8" fillId="18" borderId="12" xfId="0" applyNumberFormat="1" applyFont="1" applyFill="1" applyBorder="1" applyAlignment="1">
      <alignment horizontal="center" vertical="top" shrinkToFit="1"/>
    </xf>
    <xf numFmtId="1" fontId="8" fillId="6" borderId="12" xfId="0" applyNumberFormat="1" applyFont="1" applyFill="1" applyBorder="1" applyAlignment="1">
      <alignment horizontal="center" vertical="top" shrinkToFit="1"/>
    </xf>
    <xf numFmtId="1" fontId="8" fillId="3" borderId="12" xfId="0" applyNumberFormat="1" applyFont="1" applyFill="1" applyBorder="1" applyAlignment="1">
      <alignment horizontal="center" vertical="top" shrinkToFit="1"/>
    </xf>
    <xf numFmtId="0" fontId="8" fillId="15" borderId="12" xfId="0" applyFont="1" applyFill="1" applyBorder="1" applyAlignment="1">
      <alignment horizontal="center"/>
    </xf>
    <xf numFmtId="1" fontId="8" fillId="15" borderId="29" xfId="0" applyNumberFormat="1" applyFont="1" applyFill="1" applyBorder="1" applyAlignment="1">
      <alignment horizontal="center" vertical="top" shrinkToFit="1"/>
    </xf>
    <xf numFmtId="1" fontId="8" fillId="14" borderId="12" xfId="0" applyNumberFormat="1" applyFont="1" applyFill="1" applyBorder="1" applyAlignment="1">
      <alignment horizontal="center" vertical="top" shrinkToFit="1"/>
    </xf>
    <xf numFmtId="1" fontId="8" fillId="25" borderId="12" xfId="0" applyNumberFormat="1" applyFont="1" applyFill="1" applyBorder="1" applyAlignment="1">
      <alignment horizontal="center" vertical="top" shrinkToFit="1"/>
    </xf>
    <xf numFmtId="0" fontId="8" fillId="20" borderId="12" xfId="0" applyFont="1" applyFill="1" applyBorder="1" applyAlignment="1">
      <alignment horizontal="center" vertical="top" wrapText="1"/>
    </xf>
    <xf numFmtId="1" fontId="8" fillId="4" borderId="12" xfId="0" applyNumberFormat="1" applyFont="1" applyFill="1" applyBorder="1" applyAlignment="1">
      <alignment horizontal="center" vertical="top" shrinkToFit="1"/>
    </xf>
    <xf numFmtId="0" fontId="8" fillId="19" borderId="5" xfId="0" applyFont="1" applyFill="1" applyBorder="1" applyAlignment="1">
      <alignment horizontal="left" vertical="top" wrapText="1"/>
    </xf>
    <xf numFmtId="0" fontId="8" fillId="23" borderId="5" xfId="0" applyFont="1" applyFill="1" applyBorder="1" applyAlignment="1">
      <alignment horizontal="left" vertical="top" wrapText="1"/>
    </xf>
    <xf numFmtId="0" fontId="8" fillId="22" borderId="5" xfId="0" applyFont="1" applyFill="1" applyBorder="1" applyAlignment="1">
      <alignment horizontal="left" vertical="top" wrapText="1"/>
    </xf>
    <xf numFmtId="0" fontId="9" fillId="4" borderId="12" xfId="0" applyFont="1" applyFill="1" applyBorder="1"/>
    <xf numFmtId="0" fontId="7" fillId="24" borderId="5" xfId="0" applyFont="1" applyFill="1" applyBorder="1" applyAlignment="1">
      <alignment horizontal="center"/>
    </xf>
    <xf numFmtId="0" fontId="8" fillId="24" borderId="5" xfId="0" applyFont="1" applyFill="1" applyBorder="1" applyAlignment="1">
      <alignment horizontal="center"/>
    </xf>
    <xf numFmtId="0" fontId="6" fillId="24" borderId="5" xfId="0" applyFont="1" applyFill="1" applyBorder="1" applyAlignment="1">
      <alignment horizontal="center"/>
    </xf>
    <xf numFmtId="1" fontId="10" fillId="24" borderId="5" xfId="0" applyNumberFormat="1" applyFont="1" applyFill="1" applyBorder="1" applyAlignment="1">
      <alignment horizontal="center"/>
    </xf>
    <xf numFmtId="0" fontId="8" fillId="6" borderId="23" xfId="0" applyFont="1" applyFill="1" applyBorder="1" applyAlignment="1">
      <alignment horizontal="center" vertical="center"/>
    </xf>
    <xf numFmtId="0" fontId="8" fillId="20" borderId="12" xfId="0" applyFont="1" applyFill="1" applyBorder="1" applyAlignment="1">
      <alignment horizontal="center" vertical="center" wrapText="1"/>
    </xf>
    <xf numFmtId="0" fontId="8" fillId="18" borderId="12" xfId="0" applyFont="1" applyFill="1" applyBorder="1" applyAlignment="1">
      <alignment horizontal="center" wrapText="1"/>
    </xf>
    <xf numFmtId="0" fontId="8" fillId="9" borderId="11" xfId="0" applyFont="1" applyFill="1" applyBorder="1" applyAlignment="1">
      <alignment horizontal="left" vertical="top" wrapText="1"/>
    </xf>
    <xf numFmtId="0" fontId="8" fillId="19" borderId="11" xfId="0" applyFont="1" applyFill="1" applyBorder="1" applyAlignment="1">
      <alignment horizontal="left" vertical="top" wrapText="1"/>
    </xf>
    <xf numFmtId="0" fontId="8" fillId="21" borderId="11" xfId="0" applyFont="1" applyFill="1" applyBorder="1" applyAlignment="1">
      <alignment horizontal="left" vertical="top" wrapText="1"/>
    </xf>
    <xf numFmtId="0" fontId="8" fillId="21" borderId="5" xfId="0" applyFont="1" applyFill="1" applyBorder="1" applyAlignment="1">
      <alignment horizontal="left" vertical="top" wrapText="1"/>
    </xf>
    <xf numFmtId="1" fontId="8" fillId="20" borderId="12" xfId="0" applyNumberFormat="1" applyFont="1" applyFill="1" applyBorder="1" applyAlignment="1">
      <alignment horizontal="center" vertical="top" shrinkToFit="1"/>
    </xf>
    <xf numFmtId="0" fontId="8" fillId="20" borderId="5" xfId="0" applyFont="1" applyFill="1" applyBorder="1" applyAlignment="1">
      <alignment horizontal="center" vertical="center"/>
    </xf>
    <xf numFmtId="0" fontId="8" fillId="15" borderId="5"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14" borderId="23" xfId="0" applyFont="1" applyFill="1" applyBorder="1" applyAlignment="1">
      <alignment horizontal="center" vertical="center"/>
    </xf>
    <xf numFmtId="0" fontId="8" fillId="6" borderId="25" xfId="0" applyFont="1" applyFill="1" applyBorder="1" applyAlignment="1">
      <alignment horizontal="center" vertical="center"/>
    </xf>
    <xf numFmtId="0" fontId="13" fillId="15" borderId="24" xfId="0" applyFont="1" applyFill="1" applyBorder="1" applyAlignment="1">
      <alignment horizontal="center"/>
    </xf>
    <xf numFmtId="0" fontId="8" fillId="6" borderId="0" xfId="0" applyFont="1" applyFill="1" applyAlignment="1">
      <alignment horizontal="center"/>
    </xf>
    <xf numFmtId="0" fontId="8" fillId="14" borderId="23" xfId="0" applyFont="1" applyFill="1" applyBorder="1" applyAlignment="1">
      <alignment horizontal="center"/>
    </xf>
    <xf numFmtId="0" fontId="8" fillId="4" borderId="24" xfId="0" applyFont="1" applyFill="1" applyBorder="1" applyAlignment="1">
      <alignment horizontal="center" vertical="center"/>
    </xf>
    <xf numFmtId="0" fontId="8" fillId="3" borderId="9" xfId="0" applyFont="1" applyFill="1" applyBorder="1" applyAlignment="1">
      <alignment horizontal="left" vertical="top" wrapText="1"/>
    </xf>
    <xf numFmtId="0" fontId="7" fillId="14" borderId="3" xfId="0" applyFont="1" applyFill="1" applyBorder="1"/>
    <xf numFmtId="0" fontId="8" fillId="7" borderId="10" xfId="0" applyFont="1" applyFill="1" applyBorder="1" applyAlignment="1">
      <alignment horizontal="left" vertical="top" wrapText="1"/>
    </xf>
    <xf numFmtId="0" fontId="13" fillId="15" borderId="27" xfId="0" applyFont="1" applyFill="1" applyBorder="1"/>
    <xf numFmtId="0" fontId="8" fillId="23" borderId="11" xfId="0" applyFont="1" applyFill="1" applyBorder="1" applyAlignment="1">
      <alignment horizontal="left" vertical="top" wrapText="1"/>
    </xf>
    <xf numFmtId="0" fontId="8" fillId="4" borderId="9" xfId="0" applyFont="1" applyFill="1" applyBorder="1" applyAlignment="1">
      <alignment horizontal="left" vertical="center"/>
    </xf>
    <xf numFmtId="0" fontId="8" fillId="22" borderId="11" xfId="0" applyFont="1" applyFill="1" applyBorder="1" applyAlignment="1">
      <alignment horizontal="left" vertical="top" wrapText="1"/>
    </xf>
    <xf numFmtId="0" fontId="8" fillId="15" borderId="5" xfId="0" applyFont="1" applyFill="1" applyBorder="1" applyAlignment="1">
      <alignment horizontal="left" vertical="top" wrapText="1"/>
    </xf>
    <xf numFmtId="0" fontId="8" fillId="3" borderId="29" xfId="0" applyFont="1" applyFill="1" applyBorder="1" applyAlignment="1">
      <alignment horizontal="center" vertical="top" wrapText="1"/>
    </xf>
    <xf numFmtId="1" fontId="8" fillId="6" borderId="28" xfId="0" applyNumberFormat="1" applyFont="1" applyFill="1" applyBorder="1" applyAlignment="1">
      <alignment horizontal="center" vertical="top" shrinkToFit="1"/>
    </xf>
    <xf numFmtId="0" fontId="8" fillId="4" borderId="29" xfId="0" applyFont="1" applyFill="1" applyBorder="1" applyAlignment="1">
      <alignment horizontal="center" vertical="center"/>
    </xf>
    <xf numFmtId="0" fontId="8" fillId="3" borderId="6" xfId="0" applyFont="1" applyFill="1" applyBorder="1" applyAlignment="1">
      <alignment horizontal="left" vertical="center"/>
    </xf>
    <xf numFmtId="0" fontId="8" fillId="6" borderId="8" xfId="0" applyFont="1" applyFill="1" applyBorder="1"/>
    <xf numFmtId="0" fontId="8" fillId="4" borderId="6" xfId="0" applyFont="1" applyFill="1" applyBorder="1" applyAlignment="1">
      <alignment horizontal="center" vertical="center"/>
    </xf>
    <xf numFmtId="1" fontId="8" fillId="6" borderId="8" xfId="0" applyNumberFormat="1" applyFont="1" applyFill="1" applyBorder="1" applyAlignment="1">
      <alignment horizontal="center" vertical="top" shrinkToFit="1"/>
    </xf>
    <xf numFmtId="1" fontId="8" fillId="3" borderId="6" xfId="0" applyNumberFormat="1" applyFont="1" applyFill="1" applyBorder="1" applyAlignment="1">
      <alignment horizontal="center" vertical="top" shrinkToFit="1"/>
    </xf>
    <xf numFmtId="0" fontId="7" fillId="6" borderId="8" xfId="0" applyFont="1" applyFill="1" applyBorder="1"/>
    <xf numFmtId="0" fontId="8" fillId="4" borderId="26" xfId="0" applyFont="1" applyFill="1" applyBorder="1" applyAlignment="1">
      <alignment horizontal="center" vertical="center"/>
    </xf>
    <xf numFmtId="0" fontId="7" fillId="3" borderId="0" xfId="0" applyFont="1" applyFill="1"/>
    <xf numFmtId="0" fontId="8" fillId="15" borderId="24" xfId="0" applyFont="1" applyFill="1" applyBorder="1" applyAlignment="1">
      <alignment horizontal="center" wrapText="1"/>
    </xf>
    <xf numFmtId="0" fontId="8" fillId="6" borderId="12" xfId="0" applyFont="1" applyFill="1" applyBorder="1" applyAlignment="1">
      <alignment horizontal="center"/>
    </xf>
    <xf numFmtId="0" fontId="8" fillId="15" borderId="3" xfId="0" applyFont="1" applyFill="1" applyBorder="1"/>
    <xf numFmtId="1" fontId="8" fillId="18" borderId="29" xfId="0" applyNumberFormat="1" applyFont="1" applyFill="1" applyBorder="1" applyAlignment="1">
      <alignment horizontal="center" vertical="top" shrinkToFit="1"/>
    </xf>
    <xf numFmtId="0" fontId="7" fillId="18" borderId="6" xfId="0" applyFont="1" applyFill="1" applyBorder="1"/>
    <xf numFmtId="0" fontId="13" fillId="3" borderId="5" xfId="0" applyFont="1" applyFill="1" applyBorder="1" applyAlignment="1">
      <alignment horizontal="center" vertical="center"/>
    </xf>
    <xf numFmtId="0" fontId="13" fillId="24" borderId="5" xfId="0" applyFont="1" applyFill="1" applyBorder="1" applyAlignment="1">
      <alignment horizontal="center"/>
    </xf>
    <xf numFmtId="0" fontId="13" fillId="3" borderId="5" xfId="0" applyFont="1" applyFill="1" applyBorder="1" applyAlignment="1">
      <alignment horizontal="center"/>
    </xf>
    <xf numFmtId="0" fontId="13" fillId="0" borderId="5" xfId="0" applyFont="1" applyBorder="1" applyAlignment="1">
      <alignment horizontal="center"/>
    </xf>
    <xf numFmtId="0" fontId="13" fillId="0" borderId="0" xfId="0" applyFont="1" applyAlignment="1">
      <alignment horizontal="center"/>
    </xf>
    <xf numFmtId="0" fontId="13" fillId="12" borderId="5" xfId="0" applyFont="1" applyFill="1" applyBorder="1" applyAlignment="1">
      <alignment horizontal="center"/>
    </xf>
    <xf numFmtId="0" fontId="13" fillId="4" borderId="5" xfId="0" applyFont="1" applyFill="1" applyBorder="1" applyAlignment="1">
      <alignment horizontal="center"/>
    </xf>
    <xf numFmtId="0" fontId="8" fillId="14" borderId="3" xfId="0" applyFont="1" applyFill="1" applyBorder="1"/>
    <xf numFmtId="0" fontId="8" fillId="14" borderId="5" xfId="0" applyFont="1" applyFill="1" applyBorder="1"/>
    <xf numFmtId="0" fontId="8" fillId="0" borderId="0" xfId="0" applyFont="1" applyAlignment="1">
      <alignment horizontal="center"/>
    </xf>
    <xf numFmtId="0" fontId="8" fillId="6" borderId="5" xfId="0" applyFont="1" applyFill="1" applyBorder="1" applyAlignment="1">
      <alignment horizontal="center" wrapText="1"/>
    </xf>
    <xf numFmtId="0" fontId="18" fillId="6" borderId="5" xfId="0" applyFont="1" applyFill="1" applyBorder="1" applyAlignment="1">
      <alignment vertical="center" wrapText="1"/>
    </xf>
    <xf numFmtId="0" fontId="9" fillId="28" borderId="0" xfId="0" applyFont="1" applyFill="1"/>
    <xf numFmtId="0" fontId="9" fillId="28" borderId="4" xfId="0" applyFont="1" applyFill="1" applyBorder="1"/>
    <xf numFmtId="0" fontId="0" fillId="28" borderId="0" xfId="0" applyFill="1"/>
    <xf numFmtId="0" fontId="8" fillId="28" borderId="5" xfId="0" applyFont="1" applyFill="1" applyBorder="1" applyAlignment="1">
      <alignment horizontal="center" vertical="center"/>
    </xf>
    <xf numFmtId="0" fontId="8" fillId="28" borderId="23" xfId="0" applyFont="1" applyFill="1" applyBorder="1" applyAlignment="1">
      <alignment horizontal="center"/>
    </xf>
    <xf numFmtId="0" fontId="8" fillId="29" borderId="3" xfId="0" applyFont="1" applyFill="1" applyBorder="1" applyAlignment="1">
      <alignment horizontal="left" vertical="top" wrapText="1"/>
    </xf>
    <xf numFmtId="0" fontId="8" fillId="29" borderId="5" xfId="0" applyFont="1" applyFill="1" applyBorder="1" applyAlignment="1">
      <alignment horizontal="left" vertical="top" wrapText="1"/>
    </xf>
    <xf numFmtId="1" fontId="8" fillId="28" borderId="12" xfId="0" applyNumberFormat="1" applyFont="1" applyFill="1" applyBorder="1" applyAlignment="1">
      <alignment horizontal="center" vertical="top" shrinkToFit="1"/>
    </xf>
    <xf numFmtId="0" fontId="8" fillId="28" borderId="23" xfId="0" applyFont="1" applyFill="1" applyBorder="1" applyAlignment="1">
      <alignment horizontal="center" wrapText="1"/>
    </xf>
    <xf numFmtId="0" fontId="8" fillId="28" borderId="23" xfId="0" applyFont="1" applyFill="1" applyBorder="1" applyAlignment="1">
      <alignment horizontal="center" vertical="center" wrapText="1"/>
    </xf>
    <xf numFmtId="0" fontId="8" fillId="28" borderId="23" xfId="0" applyFont="1" applyFill="1" applyBorder="1" applyAlignment="1">
      <alignment horizontal="center" vertical="center"/>
    </xf>
    <xf numFmtId="0" fontId="8" fillId="28" borderId="12" xfId="0" applyFont="1" applyFill="1" applyBorder="1" applyAlignment="1">
      <alignment horizontal="center" wrapText="1"/>
    </xf>
    <xf numFmtId="0" fontId="8" fillId="29" borderId="11" xfId="0" applyFont="1" applyFill="1" applyBorder="1" applyAlignment="1">
      <alignment horizontal="left" vertical="top" wrapText="1"/>
    </xf>
    <xf numFmtId="0" fontId="8" fillId="28" borderId="12" xfId="0" applyFont="1" applyFill="1" applyBorder="1" applyAlignment="1">
      <alignment horizontal="center" vertical="center" wrapText="1"/>
    </xf>
    <xf numFmtId="0" fontId="8" fillId="29" borderId="9" xfId="0" applyFont="1" applyFill="1" applyBorder="1" applyAlignment="1">
      <alignment horizontal="left" vertical="top" wrapText="1"/>
    </xf>
    <xf numFmtId="1" fontId="8" fillId="28" borderId="29" xfId="0" applyNumberFormat="1" applyFont="1" applyFill="1" applyBorder="1" applyAlignment="1">
      <alignment horizontal="center" vertical="top" shrinkToFit="1"/>
    </xf>
    <xf numFmtId="0" fontId="8" fillId="30" borderId="3" xfId="0" applyFont="1" applyFill="1" applyBorder="1" applyAlignment="1">
      <alignment horizontal="left" vertical="top" wrapText="1"/>
    </xf>
    <xf numFmtId="0" fontId="8" fillId="30" borderId="5" xfId="0" applyFont="1" applyFill="1" applyBorder="1" applyAlignment="1">
      <alignment horizontal="left" vertical="top" wrapText="1"/>
    </xf>
    <xf numFmtId="0" fontId="8" fillId="28" borderId="12" xfId="0" applyFont="1" applyFill="1" applyBorder="1" applyAlignment="1">
      <alignment horizontal="center"/>
    </xf>
    <xf numFmtId="0" fontId="8" fillId="28" borderId="3" xfId="0" applyFont="1" applyFill="1" applyBorder="1"/>
    <xf numFmtId="0" fontId="8" fillId="28" borderId="5" xfId="0" applyFont="1" applyFill="1" applyBorder="1"/>
    <xf numFmtId="1" fontId="8" fillId="28" borderId="28" xfId="0" applyNumberFormat="1" applyFont="1" applyFill="1" applyBorder="1" applyAlignment="1">
      <alignment horizontal="center" vertical="top" shrinkToFit="1"/>
    </xf>
    <xf numFmtId="0" fontId="8" fillId="28" borderId="24" xfId="0" applyFont="1" applyFill="1" applyBorder="1" applyAlignment="1">
      <alignment horizontal="center" vertical="center" wrapText="1"/>
    </xf>
    <xf numFmtId="0" fontId="8" fillId="30" borderId="11" xfId="0" applyFont="1" applyFill="1" applyBorder="1" applyAlignment="1">
      <alignment horizontal="left" vertical="top" wrapText="1"/>
    </xf>
    <xf numFmtId="0" fontId="8" fillId="28" borderId="0" xfId="0" applyFont="1" applyFill="1" applyAlignment="1">
      <alignment horizontal="center"/>
    </xf>
    <xf numFmtId="0" fontId="13" fillId="28" borderId="24" xfId="0" applyFont="1" applyFill="1" applyBorder="1" applyAlignment="1">
      <alignment horizontal="center"/>
    </xf>
    <xf numFmtId="0" fontId="13" fillId="28" borderId="27" xfId="0" applyFont="1" applyFill="1" applyBorder="1"/>
    <xf numFmtId="0" fontId="13" fillId="28" borderId="5" xfId="0" applyFont="1" applyFill="1" applyBorder="1"/>
    <xf numFmtId="0" fontId="8" fillId="28" borderId="11" xfId="0" applyFont="1" applyFill="1" applyBorder="1" applyAlignment="1">
      <alignment horizontal="left" vertical="top" wrapText="1"/>
    </xf>
    <xf numFmtId="0" fontId="8" fillId="28" borderId="5" xfId="0" applyFont="1" applyFill="1" applyBorder="1" applyAlignment="1">
      <alignment horizontal="left" vertical="top" wrapText="1"/>
    </xf>
    <xf numFmtId="0" fontId="8" fillId="28" borderId="9" xfId="0" applyFont="1" applyFill="1" applyBorder="1" applyAlignment="1">
      <alignment horizontal="left" vertical="top" wrapText="1"/>
    </xf>
    <xf numFmtId="0" fontId="8" fillId="28" borderId="29" xfId="0" applyFont="1" applyFill="1" applyBorder="1" applyAlignment="1">
      <alignment horizontal="center" vertical="top" wrapText="1"/>
    </xf>
    <xf numFmtId="0" fontId="8" fillId="28" borderId="12" xfId="0" applyFont="1" applyFill="1" applyBorder="1" applyAlignment="1">
      <alignment horizontal="center" vertical="center"/>
    </xf>
    <xf numFmtId="0" fontId="8" fillId="28" borderId="24" xfId="0" applyFont="1" applyFill="1" applyBorder="1" applyAlignment="1">
      <alignment horizontal="center" vertical="center"/>
    </xf>
    <xf numFmtId="0" fontId="8" fillId="28" borderId="9" xfId="0" applyFont="1" applyFill="1" applyBorder="1" applyAlignment="1">
      <alignment horizontal="left" vertical="center"/>
    </xf>
    <xf numFmtId="0" fontId="8" fillId="28" borderId="5" xfId="0" applyFont="1" applyFill="1" applyBorder="1" applyAlignment="1">
      <alignment horizontal="left" vertical="center"/>
    </xf>
    <xf numFmtId="0" fontId="8" fillId="28" borderId="29" xfId="0" applyFont="1" applyFill="1" applyBorder="1" applyAlignment="1">
      <alignment horizontal="center" vertical="center"/>
    </xf>
    <xf numFmtId="0" fontId="8" fillId="31" borderId="11" xfId="0" applyFont="1" applyFill="1" applyBorder="1" applyAlignment="1">
      <alignment horizontal="left" vertical="top" wrapText="1"/>
    </xf>
    <xf numFmtId="0" fontId="8" fillId="31" borderId="5" xfId="0" applyFont="1" applyFill="1" applyBorder="1" applyAlignment="1">
      <alignment horizontal="left" vertical="top" wrapText="1"/>
    </xf>
    <xf numFmtId="0" fontId="8" fillId="28" borderId="12" xfId="0" applyFont="1" applyFill="1" applyBorder="1" applyAlignment="1">
      <alignment horizontal="center" vertical="top" wrapText="1"/>
    </xf>
    <xf numFmtId="0" fontId="8" fillId="28" borderId="11" xfId="0" applyFont="1" applyFill="1" applyBorder="1" applyAlignment="1">
      <alignment horizontal="left" vertical="center"/>
    </xf>
    <xf numFmtId="0" fontId="8" fillId="28" borderId="5" xfId="0" applyFont="1" applyFill="1" applyBorder="1" applyAlignment="1">
      <alignment horizontal="left" vertical="center" wrapText="1"/>
    </xf>
    <xf numFmtId="1" fontId="8" fillId="28" borderId="5" xfId="0" applyNumberFormat="1" applyFont="1" applyFill="1" applyBorder="1" applyAlignment="1">
      <alignment horizontal="center" vertical="center" shrinkToFit="1"/>
    </xf>
    <xf numFmtId="0" fontId="0" fillId="0" borderId="11" xfId="0" applyBorder="1"/>
    <xf numFmtId="0" fontId="0" fillId="0" borderId="15" xfId="0" applyBorder="1"/>
    <xf numFmtId="0" fontId="0" fillId="28" borderId="11" xfId="0" applyFill="1" applyBorder="1"/>
    <xf numFmtId="0" fontId="0" fillId="28" borderId="15" xfId="0" applyFill="1" applyBorder="1"/>
    <xf numFmtId="0" fontId="0" fillId="0" borderId="12" xfId="0" applyBorder="1"/>
    <xf numFmtId="0" fontId="8" fillId="29" borderId="15" xfId="0" applyFont="1" applyFill="1" applyBorder="1" applyAlignment="1">
      <alignment horizontal="left" vertical="top" wrapText="1"/>
    </xf>
    <xf numFmtId="1" fontId="8" fillId="28" borderId="15" xfId="0" applyNumberFormat="1" applyFont="1" applyFill="1" applyBorder="1" applyAlignment="1">
      <alignment horizontal="center" vertical="top" shrinkToFit="1"/>
    </xf>
    <xf numFmtId="0" fontId="8" fillId="28" borderId="11" xfId="0" applyFont="1" applyFill="1" applyBorder="1" applyAlignment="1">
      <alignment horizontal="center" vertical="center"/>
    </xf>
    <xf numFmtId="0" fontId="8" fillId="29" borderId="12" xfId="0" applyFont="1" applyFill="1" applyBorder="1" applyAlignment="1">
      <alignment horizontal="left" vertical="top" wrapText="1"/>
    </xf>
    <xf numFmtId="0" fontId="8" fillId="28" borderId="31" xfId="0" applyFont="1" applyFill="1" applyBorder="1" applyAlignment="1">
      <alignment horizontal="center" wrapText="1"/>
    </xf>
    <xf numFmtId="0" fontId="8" fillId="29" borderId="31" xfId="0" applyFont="1" applyFill="1" applyBorder="1" applyAlignment="1">
      <alignment horizontal="left" vertical="top" wrapText="1"/>
    </xf>
    <xf numFmtId="0" fontId="8" fillId="29" borderId="30" xfId="0" applyFont="1" applyFill="1" applyBorder="1" applyAlignment="1">
      <alignment horizontal="left" vertical="top" wrapText="1"/>
    </xf>
    <xf numFmtId="0" fontId="8" fillId="28" borderId="32" xfId="0" applyFont="1" applyFill="1" applyBorder="1" applyAlignment="1">
      <alignment horizontal="center" wrapText="1"/>
    </xf>
    <xf numFmtId="0" fontId="8" fillId="29" borderId="32" xfId="0" applyFont="1" applyFill="1" applyBorder="1" applyAlignment="1">
      <alignment horizontal="left" vertical="top" wrapText="1"/>
    </xf>
    <xf numFmtId="0" fontId="8" fillId="28" borderId="15" xfId="0" applyFont="1" applyFill="1" applyBorder="1" applyAlignment="1">
      <alignment horizontal="center" vertical="center"/>
    </xf>
    <xf numFmtId="0" fontId="8" fillId="28" borderId="33" xfId="0" applyFont="1" applyFill="1" applyBorder="1" applyAlignment="1">
      <alignment horizontal="left" vertical="top" wrapText="1"/>
    </xf>
    <xf numFmtId="0" fontId="8" fillId="28" borderId="34" xfId="0" applyFont="1" applyFill="1" applyBorder="1"/>
    <xf numFmtId="1" fontId="8" fillId="28" borderId="5" xfId="0" applyNumberFormat="1" applyFont="1" applyFill="1" applyBorder="1" applyAlignment="1">
      <alignment horizontal="center" vertical="top" shrinkToFit="1"/>
    </xf>
    <xf numFmtId="0" fontId="10" fillId="28" borderId="32" xfId="0" applyFont="1" applyFill="1" applyBorder="1" applyAlignment="1">
      <alignment horizontal="center" wrapText="1"/>
    </xf>
    <xf numFmtId="0" fontId="10" fillId="28" borderId="15" xfId="0" applyFont="1" applyFill="1" applyBorder="1" applyAlignment="1">
      <alignment horizontal="center" wrapText="1"/>
    </xf>
    <xf numFmtId="0" fontId="20" fillId="28" borderId="15" xfId="0" applyFont="1" applyFill="1" applyBorder="1"/>
    <xf numFmtId="0" fontId="21" fillId="28" borderId="30" xfId="0" applyFont="1" applyFill="1" applyBorder="1" applyAlignment="1">
      <alignment horizontal="center" wrapText="1"/>
    </xf>
    <xf numFmtId="0" fontId="22" fillId="0" borderId="15" xfId="0" applyFont="1" applyBorder="1"/>
    <xf numFmtId="0" fontId="22" fillId="28" borderId="15" xfId="0" applyFont="1" applyFill="1" applyBorder="1"/>
    <xf numFmtId="0" fontId="10" fillId="32" borderId="1" xfId="0" applyFont="1" applyFill="1" applyBorder="1" applyAlignment="1">
      <alignment horizontal="center" vertical="center"/>
    </xf>
    <xf numFmtId="0" fontId="10" fillId="32" borderId="2" xfId="0" applyFont="1" applyFill="1" applyBorder="1" applyAlignment="1">
      <alignment horizontal="center" vertical="center"/>
    </xf>
    <xf numFmtId="0" fontId="10" fillId="32" borderId="9" xfId="0" applyFont="1" applyFill="1" applyBorder="1" applyAlignment="1">
      <alignment horizontal="center" vertical="center"/>
    </xf>
    <xf numFmtId="0" fontId="10" fillId="32" borderId="5" xfId="0" applyFont="1" applyFill="1" applyBorder="1" applyAlignment="1">
      <alignment horizontal="center" vertical="center"/>
    </xf>
    <xf numFmtId="0" fontId="10" fillId="32" borderId="24" xfId="0" applyFont="1" applyFill="1" applyBorder="1" applyAlignment="1">
      <alignment horizontal="center" vertical="center"/>
    </xf>
    <xf numFmtId="0" fontId="8" fillId="33" borderId="5" xfId="0" applyFont="1" applyFill="1" applyBorder="1" applyAlignment="1">
      <alignment horizontal="center" wrapText="1"/>
    </xf>
    <xf numFmtId="0" fontId="8" fillId="34" borderId="5" xfId="0" applyFont="1" applyFill="1" applyBorder="1" applyAlignment="1">
      <alignment horizontal="left" vertical="top" wrapText="1"/>
    </xf>
    <xf numFmtId="0" fontId="18" fillId="33" borderId="5" xfId="0" applyFont="1" applyFill="1" applyBorder="1" applyAlignment="1">
      <alignment vertical="center" wrapText="1"/>
    </xf>
    <xf numFmtId="0" fontId="0" fillId="0" borderId="35" xfId="0" applyBorder="1"/>
    <xf numFmtId="0" fontId="22" fillId="0" borderId="35" xfId="0" applyFont="1" applyBorder="1"/>
    <xf numFmtId="1" fontId="0" fillId="0" borderId="35" xfId="0" applyNumberFormat="1" applyBorder="1"/>
    <xf numFmtId="1" fontId="22" fillId="0" borderId="12" xfId="0" applyNumberFormat="1" applyFont="1" applyBorder="1"/>
    <xf numFmtId="1" fontId="21" fillId="28" borderId="12" xfId="0" applyNumberFormat="1" applyFont="1" applyFill="1" applyBorder="1" applyAlignment="1">
      <alignment horizontal="center" vertical="top" shrinkToFit="1"/>
    </xf>
    <xf numFmtId="1" fontId="21" fillId="28" borderId="28" xfId="0" applyNumberFormat="1" applyFont="1" applyFill="1" applyBorder="1" applyAlignment="1">
      <alignment horizontal="center" vertical="top" shrinkToFit="1"/>
    </xf>
    <xf numFmtId="0" fontId="23" fillId="28" borderId="0" xfId="0" applyFont="1" applyFill="1"/>
    <xf numFmtId="0" fontId="23" fillId="28" borderId="4" xfId="0" applyFont="1" applyFill="1" applyBorder="1"/>
    <xf numFmtId="0" fontId="7" fillId="28" borderId="5" xfId="0" applyFont="1" applyFill="1" applyBorder="1" applyAlignment="1">
      <alignment horizontal="center" vertical="center"/>
    </xf>
    <xf numFmtId="0" fontId="7" fillId="28" borderId="23" xfId="0" applyFont="1" applyFill="1" applyBorder="1" applyAlignment="1">
      <alignment horizontal="center"/>
    </xf>
    <xf numFmtId="0" fontId="7" fillId="29" borderId="3" xfId="0" applyFont="1" applyFill="1" applyBorder="1" applyAlignment="1">
      <alignment horizontal="left" vertical="top" wrapText="1"/>
    </xf>
    <xf numFmtId="0" fontId="7" fillId="29" borderId="5" xfId="0" applyFont="1" applyFill="1" applyBorder="1" applyAlignment="1">
      <alignment horizontal="left" vertical="top" wrapText="1"/>
    </xf>
    <xf numFmtId="1" fontId="7" fillId="28" borderId="12" xfId="0" applyNumberFormat="1" applyFont="1" applyFill="1" applyBorder="1" applyAlignment="1">
      <alignment horizontal="center" vertical="top" shrinkToFit="1"/>
    </xf>
    <xf numFmtId="0" fontId="19" fillId="28" borderId="0" xfId="0" applyFont="1" applyFill="1"/>
    <xf numFmtId="0" fontId="7" fillId="28" borderId="23" xfId="0" applyFont="1" applyFill="1" applyBorder="1" applyAlignment="1">
      <alignment horizontal="center" vertical="center"/>
    </xf>
    <xf numFmtId="0" fontId="7" fillId="28" borderId="12" xfId="0" applyFont="1" applyFill="1" applyBorder="1" applyAlignment="1">
      <alignment horizontal="center" wrapText="1"/>
    </xf>
    <xf numFmtId="0" fontId="7" fillId="29" borderId="11" xfId="0" applyFont="1" applyFill="1" applyBorder="1" applyAlignment="1">
      <alignment horizontal="left" vertical="top" wrapText="1"/>
    </xf>
    <xf numFmtId="0" fontId="7" fillId="28" borderId="12" xfId="0" applyFont="1" applyFill="1" applyBorder="1" applyAlignment="1">
      <alignment horizontal="center" vertical="center" wrapText="1"/>
    </xf>
    <xf numFmtId="0" fontId="7" fillId="28" borderId="23" xfId="0" applyFont="1" applyFill="1" applyBorder="1" applyAlignment="1">
      <alignment horizontal="center" vertical="center" wrapText="1"/>
    </xf>
    <xf numFmtId="0" fontId="7" fillId="29" borderId="3" xfId="0" applyFont="1" applyFill="1" applyBorder="1" applyAlignment="1">
      <alignment horizontal="left" vertical="center" wrapText="1"/>
    </xf>
    <xf numFmtId="0" fontId="7" fillId="28" borderId="24" xfId="0" applyFont="1" applyFill="1" applyBorder="1" applyAlignment="1">
      <alignment horizontal="center" vertical="center" wrapText="1"/>
    </xf>
    <xf numFmtId="0" fontId="7" fillId="29" borderId="9" xfId="0" applyFont="1" applyFill="1" applyBorder="1" applyAlignment="1">
      <alignment horizontal="left" vertical="center" wrapText="1"/>
    </xf>
    <xf numFmtId="0" fontId="7" fillId="29" borderId="5" xfId="0" applyFont="1" applyFill="1" applyBorder="1" applyAlignment="1">
      <alignment horizontal="left" vertical="center" wrapText="1"/>
    </xf>
    <xf numFmtId="1" fontId="7" fillId="28" borderId="29" xfId="0" applyNumberFormat="1" applyFont="1" applyFill="1" applyBorder="1" applyAlignment="1">
      <alignment horizontal="center" vertical="center" shrinkToFit="1"/>
    </xf>
    <xf numFmtId="1" fontId="7" fillId="28" borderId="29" xfId="0" applyNumberFormat="1" applyFont="1" applyFill="1" applyBorder="1" applyAlignment="1">
      <alignment horizontal="center" vertical="top" shrinkToFit="1"/>
    </xf>
    <xf numFmtId="1" fontId="7" fillId="28" borderId="12" xfId="0" applyNumberFormat="1" applyFont="1" applyFill="1" applyBorder="1" applyAlignment="1">
      <alignment horizontal="center" vertical="center" shrinkToFit="1"/>
    </xf>
    <xf numFmtId="0" fontId="8" fillId="28" borderId="36" xfId="0" applyFont="1" applyFill="1" applyBorder="1" applyAlignment="1">
      <alignment horizontal="center" vertical="center"/>
    </xf>
    <xf numFmtId="0" fontId="8" fillId="29" borderId="36" xfId="0" applyFont="1" applyFill="1" applyBorder="1" applyAlignment="1">
      <alignment horizontal="left" vertical="top" wrapText="1"/>
    </xf>
    <xf numFmtId="0" fontId="8" fillId="29" borderId="3" xfId="0" applyFont="1" applyFill="1" applyBorder="1" applyAlignment="1">
      <alignment horizontal="left" vertical="center" wrapText="1"/>
    </xf>
    <xf numFmtId="0" fontId="8" fillId="29" borderId="5" xfId="0" applyFont="1" applyFill="1" applyBorder="1" applyAlignment="1">
      <alignment horizontal="left" vertical="center" wrapText="1"/>
    </xf>
    <xf numFmtId="1" fontId="8" fillId="28" borderId="12" xfId="0" applyNumberFormat="1" applyFont="1" applyFill="1" applyBorder="1" applyAlignment="1">
      <alignment horizontal="center" vertical="center" shrinkToFit="1"/>
    </xf>
    <xf numFmtId="0" fontId="0" fillId="28" borderId="0" xfId="0" applyFill="1" applyAlignment="1">
      <alignment vertical="center"/>
    </xf>
    <xf numFmtId="0" fontId="8" fillId="30" borderId="11" xfId="0" applyFont="1" applyFill="1" applyBorder="1" applyAlignment="1">
      <alignment horizontal="left" vertical="center" wrapText="1"/>
    </xf>
    <xf numFmtId="0" fontId="8" fillId="30" borderId="5" xfId="0" applyFont="1" applyFill="1" applyBorder="1" applyAlignment="1">
      <alignment horizontal="left" vertical="center" wrapText="1"/>
    </xf>
    <xf numFmtId="0" fontId="0" fillId="0" borderId="0" xfId="0" applyAlignment="1">
      <alignment vertical="center"/>
    </xf>
    <xf numFmtId="0" fontId="9" fillId="4" borderId="0" xfId="0" applyFont="1" applyFill="1" applyAlignment="1">
      <alignment horizontal="center"/>
    </xf>
    <xf numFmtId="0" fontId="9" fillId="4" borderId="4" xfId="0" applyFont="1" applyFill="1" applyBorder="1" applyAlignment="1">
      <alignment horizontal="center"/>
    </xf>
    <xf numFmtId="0" fontId="4" fillId="0" borderId="6" xfId="0" applyFont="1" applyBorder="1" applyAlignment="1">
      <alignment horizontal="left" vertical="top"/>
    </xf>
    <xf numFmtId="0" fontId="4" fillId="0" borderId="7" xfId="0" applyFont="1" applyBorder="1" applyAlignment="1">
      <alignment horizontal="left" vertical="top"/>
    </xf>
    <xf numFmtId="0" fontId="4" fillId="0" borderId="8" xfId="0" applyFont="1" applyBorder="1" applyAlignment="1">
      <alignment horizontal="left" vertical="top"/>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5" xfId="0" applyFont="1" applyBorder="1" applyAlignment="1">
      <alignment horizontal="left" vertical="top" wrapText="1"/>
    </xf>
    <xf numFmtId="0" fontId="4" fillId="0" borderId="5" xfId="0" applyFont="1" applyBorder="1" applyAlignment="1">
      <alignment horizontal="left" vertical="top" wrapText="1"/>
    </xf>
    <xf numFmtId="0" fontId="5" fillId="3" borderId="5" xfId="0" applyFont="1" applyFill="1" applyBorder="1" applyAlignment="1">
      <alignment horizontal="left" vertical="top" wrapText="1"/>
    </xf>
    <xf numFmtId="0" fontId="2" fillId="0" borderId="5" xfId="0" applyFont="1" applyBorder="1" applyAlignment="1">
      <alignment horizontal="center" vertical="center" wrapText="1"/>
    </xf>
    <xf numFmtId="0" fontId="6" fillId="0" borderId="5" xfId="0" applyFont="1" applyBorder="1" applyAlignment="1">
      <alignment horizontal="center" vertical="center" wrapText="1"/>
    </xf>
    <xf numFmtId="0" fontId="13" fillId="0" borderId="5" xfId="0" applyFont="1" applyBorder="1" applyAlignment="1">
      <alignment horizontal="center" wrapText="1"/>
    </xf>
    <xf numFmtId="0" fontId="6" fillId="0" borderId="16" xfId="0" applyFont="1" applyBorder="1" applyAlignment="1">
      <alignment vertical="center" wrapTex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1" fillId="0" borderId="0" xfId="0" applyFont="1" applyAlignment="1">
      <alignment wrapText="1"/>
    </xf>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
  <sheetViews>
    <sheetView workbookViewId="0">
      <selection activeCell="F38" sqref="F38"/>
    </sheetView>
  </sheetViews>
  <sheetFormatPr defaultRowHeight="13.8" x14ac:dyDescent="0.25"/>
  <cols>
    <col min="1" max="1" width="21.69921875" customWidth="1"/>
    <col min="2" max="2" width="37.8984375" customWidth="1"/>
    <col min="3" max="3" width="3.8984375" bestFit="1" customWidth="1"/>
    <col min="4" max="4" width="4.3984375" bestFit="1" customWidth="1"/>
    <col min="5" max="5" width="3.8984375" bestFit="1" customWidth="1"/>
    <col min="6" max="6" width="4.3984375" bestFit="1" customWidth="1"/>
    <col min="7" max="7" width="3.8984375" bestFit="1" customWidth="1"/>
    <col min="8" max="8" width="4.3984375" bestFit="1" customWidth="1"/>
    <col min="9" max="9" width="3.8984375" bestFit="1" customWidth="1"/>
    <col min="10" max="10" width="4.19921875" bestFit="1" customWidth="1"/>
    <col min="11" max="11" width="3.8984375" bestFit="1" customWidth="1"/>
    <col min="12" max="12" width="4.3984375" bestFit="1" customWidth="1"/>
    <col min="13" max="13" width="3.8984375" bestFit="1" customWidth="1"/>
    <col min="14" max="14" width="4.3984375" bestFit="1" customWidth="1"/>
    <col min="15" max="15" width="3" customWidth="1"/>
    <col min="16" max="16" width="7.59765625" customWidth="1"/>
    <col min="17" max="17" width="31.09765625" customWidth="1"/>
  </cols>
  <sheetData>
    <row r="1" spans="1:18" ht="15" x14ac:dyDescent="0.25">
      <c r="A1" s="425"/>
      <c r="B1" s="4"/>
      <c r="C1" s="424" t="s">
        <v>75</v>
      </c>
      <c r="D1" s="424"/>
      <c r="E1" s="426" t="s">
        <v>76</v>
      </c>
      <c r="F1" s="426"/>
      <c r="G1" s="424" t="s">
        <v>83</v>
      </c>
      <c r="H1" s="424"/>
      <c r="I1" s="424" t="s">
        <v>84</v>
      </c>
      <c r="J1" s="424"/>
      <c r="K1" s="424" t="s">
        <v>85</v>
      </c>
      <c r="L1" s="424"/>
      <c r="M1" s="424" t="s">
        <v>86</v>
      </c>
      <c r="N1" s="424"/>
    </row>
    <row r="2" spans="1:18" ht="15" x14ac:dyDescent="0.25">
      <c r="A2" s="425"/>
      <c r="B2" s="4"/>
      <c r="C2" s="5" t="s">
        <v>87</v>
      </c>
      <c r="D2" s="5" t="s">
        <v>88</v>
      </c>
      <c r="E2" s="6" t="s">
        <v>87</v>
      </c>
      <c r="F2" s="6" t="s">
        <v>88</v>
      </c>
      <c r="G2" s="5" t="s">
        <v>87</v>
      </c>
      <c r="H2" s="5" t="s">
        <v>88</v>
      </c>
      <c r="I2" s="5" t="s">
        <v>87</v>
      </c>
      <c r="J2" s="5" t="s">
        <v>88</v>
      </c>
      <c r="K2" s="5" t="s">
        <v>87</v>
      </c>
      <c r="L2" s="5" t="s">
        <v>88</v>
      </c>
      <c r="M2" s="5" t="s">
        <v>87</v>
      </c>
      <c r="N2" s="5" t="s">
        <v>88</v>
      </c>
      <c r="Q2" s="95" t="s">
        <v>165</v>
      </c>
      <c r="R2" s="96" t="s">
        <v>166</v>
      </c>
    </row>
    <row r="3" spans="1:18" ht="15" x14ac:dyDescent="0.3">
      <c r="A3" s="421" t="s">
        <v>89</v>
      </c>
      <c r="B3" s="17" t="s">
        <v>90</v>
      </c>
      <c r="C3" s="5" t="s">
        <v>81</v>
      </c>
      <c r="D3" s="7">
        <v>5</v>
      </c>
      <c r="E3" s="17">
        <v>2</v>
      </c>
      <c r="F3" s="18">
        <v>4</v>
      </c>
      <c r="G3" s="7">
        <v>2</v>
      </c>
      <c r="H3" s="7">
        <v>4</v>
      </c>
      <c r="I3" s="7">
        <v>3</v>
      </c>
      <c r="J3" s="7">
        <v>5</v>
      </c>
      <c r="K3" s="7">
        <v>2</v>
      </c>
      <c r="L3" s="7">
        <v>4</v>
      </c>
      <c r="M3" s="7">
        <v>3</v>
      </c>
      <c r="N3" s="7">
        <v>5</v>
      </c>
      <c r="P3" s="2" t="s">
        <v>55</v>
      </c>
      <c r="Q3" s="48" t="s">
        <v>56</v>
      </c>
      <c r="R3" s="23">
        <v>3</v>
      </c>
    </row>
    <row r="4" spans="1:18" ht="15" x14ac:dyDescent="0.25">
      <c r="A4" s="422"/>
      <c r="B4" s="17" t="s">
        <v>91</v>
      </c>
      <c r="C4" s="5" t="s">
        <v>2</v>
      </c>
      <c r="D4" s="7">
        <v>3</v>
      </c>
      <c r="E4" s="17">
        <v>2</v>
      </c>
      <c r="F4" s="19">
        <v>3</v>
      </c>
      <c r="G4" s="7">
        <v>4</v>
      </c>
      <c r="H4" s="7">
        <v>5</v>
      </c>
      <c r="I4" s="7">
        <v>2</v>
      </c>
      <c r="J4" s="7">
        <v>3</v>
      </c>
      <c r="K4" s="7">
        <v>2</v>
      </c>
      <c r="L4" s="7">
        <v>4</v>
      </c>
      <c r="M4" s="7">
        <v>2</v>
      </c>
      <c r="N4" s="7">
        <v>4</v>
      </c>
      <c r="P4" s="82" t="s">
        <v>50</v>
      </c>
      <c r="Q4" s="59" t="s">
        <v>51</v>
      </c>
      <c r="R4" s="56">
        <v>3</v>
      </c>
    </row>
    <row r="5" spans="1:18" ht="15" x14ac:dyDescent="0.25">
      <c r="A5" s="422"/>
      <c r="B5" s="5" t="s">
        <v>92</v>
      </c>
      <c r="C5" s="7">
        <v>0</v>
      </c>
      <c r="D5" s="7">
        <v>2</v>
      </c>
      <c r="E5" s="8">
        <v>0</v>
      </c>
      <c r="F5" s="8">
        <v>2</v>
      </c>
      <c r="G5" s="7">
        <v>1</v>
      </c>
      <c r="H5" s="7">
        <v>2</v>
      </c>
      <c r="I5" s="7">
        <v>4</v>
      </c>
      <c r="J5" s="7">
        <v>5</v>
      </c>
      <c r="K5" s="5" t="s">
        <v>2</v>
      </c>
      <c r="L5" s="7">
        <v>2</v>
      </c>
      <c r="M5" s="5" t="s">
        <v>2</v>
      </c>
      <c r="N5" s="7">
        <v>2</v>
      </c>
    </row>
    <row r="6" spans="1:18" ht="15" x14ac:dyDescent="0.25">
      <c r="A6" s="422"/>
      <c r="B6" s="5" t="s">
        <v>93</v>
      </c>
      <c r="C6" s="7">
        <v>0</v>
      </c>
      <c r="D6" s="5" t="s">
        <v>2</v>
      </c>
      <c r="E6" s="8">
        <v>0</v>
      </c>
      <c r="F6" s="6">
        <v>1</v>
      </c>
      <c r="G6" s="5" t="s">
        <v>2</v>
      </c>
      <c r="H6" s="4"/>
      <c r="I6" s="4"/>
      <c r="J6" s="7">
        <v>5</v>
      </c>
      <c r="K6" s="5" t="s">
        <v>2</v>
      </c>
      <c r="L6" s="7">
        <v>3</v>
      </c>
      <c r="M6" s="7">
        <v>1</v>
      </c>
      <c r="N6" s="7">
        <v>3</v>
      </c>
    </row>
    <row r="7" spans="1:18" ht="15" x14ac:dyDescent="0.3">
      <c r="A7" s="422"/>
      <c r="B7" s="17" t="s">
        <v>94</v>
      </c>
      <c r="C7" s="5" t="s">
        <v>2</v>
      </c>
      <c r="D7" s="7">
        <v>3</v>
      </c>
      <c r="E7" s="18">
        <v>2</v>
      </c>
      <c r="F7" s="18">
        <v>3</v>
      </c>
      <c r="G7" s="5" t="s">
        <v>2</v>
      </c>
      <c r="H7" s="5" t="s">
        <v>95</v>
      </c>
      <c r="I7" s="7">
        <v>4</v>
      </c>
      <c r="J7" s="7">
        <v>5</v>
      </c>
      <c r="K7" s="7">
        <v>2</v>
      </c>
      <c r="L7" s="7">
        <v>3</v>
      </c>
      <c r="M7" s="7">
        <v>2</v>
      </c>
      <c r="N7" s="7">
        <v>4</v>
      </c>
      <c r="P7" s="2" t="s">
        <v>67</v>
      </c>
      <c r="Q7" s="48" t="s">
        <v>72</v>
      </c>
      <c r="R7" s="23">
        <v>3</v>
      </c>
    </row>
    <row r="8" spans="1:18" ht="15" x14ac:dyDescent="0.25">
      <c r="A8" s="423"/>
      <c r="B8" s="17" t="s">
        <v>96</v>
      </c>
      <c r="C8" s="5" t="s">
        <v>2</v>
      </c>
      <c r="D8" s="7">
        <v>3</v>
      </c>
      <c r="E8" s="20">
        <v>2</v>
      </c>
      <c r="F8" s="18">
        <v>4</v>
      </c>
      <c r="G8" s="5" t="s">
        <v>2</v>
      </c>
      <c r="H8" s="7">
        <v>3</v>
      </c>
      <c r="I8" s="4"/>
      <c r="J8" s="7">
        <v>4</v>
      </c>
      <c r="K8" s="7">
        <v>3</v>
      </c>
      <c r="L8" s="7">
        <v>4</v>
      </c>
      <c r="M8" s="7">
        <v>3</v>
      </c>
      <c r="N8" s="7">
        <v>5</v>
      </c>
      <c r="P8" s="27" t="s">
        <v>12</v>
      </c>
      <c r="Q8" s="28" t="s">
        <v>13</v>
      </c>
      <c r="R8" s="23">
        <v>3</v>
      </c>
    </row>
    <row r="9" spans="1:18" s="37" customFormat="1" ht="15" x14ac:dyDescent="0.25">
      <c r="A9" s="38"/>
      <c r="B9" s="31"/>
      <c r="C9" s="31"/>
      <c r="D9" s="32"/>
      <c r="E9" s="39"/>
      <c r="F9" s="32"/>
      <c r="G9" s="31"/>
      <c r="H9" s="32"/>
      <c r="I9" s="40"/>
      <c r="J9" s="32"/>
      <c r="K9" s="32"/>
      <c r="L9" s="32"/>
      <c r="M9" s="32"/>
      <c r="N9" s="32"/>
      <c r="P9" s="41"/>
      <c r="Q9" s="42"/>
      <c r="R9" s="43"/>
    </row>
    <row r="10" spans="1:18" ht="15" x14ac:dyDescent="0.25">
      <c r="A10" s="421" t="s">
        <v>97</v>
      </c>
      <c r="B10" s="17" t="s">
        <v>98</v>
      </c>
      <c r="C10" s="7">
        <v>2</v>
      </c>
      <c r="D10" s="7">
        <v>3</v>
      </c>
      <c r="E10" s="18">
        <v>2</v>
      </c>
      <c r="F10" s="18">
        <v>3</v>
      </c>
      <c r="G10" s="7">
        <v>4</v>
      </c>
      <c r="H10" s="7">
        <v>5</v>
      </c>
      <c r="I10" s="5" t="s">
        <v>81</v>
      </c>
      <c r="J10" s="7">
        <v>4</v>
      </c>
      <c r="K10" s="7">
        <v>3</v>
      </c>
      <c r="L10" s="7">
        <v>4</v>
      </c>
      <c r="M10" s="5" t="s">
        <v>95</v>
      </c>
      <c r="N10" s="7">
        <v>4</v>
      </c>
      <c r="P10" s="3" t="s">
        <v>53</v>
      </c>
      <c r="Q10" s="48" t="s">
        <v>54</v>
      </c>
      <c r="R10" s="23">
        <v>3</v>
      </c>
    </row>
    <row r="11" spans="1:18" ht="15" x14ac:dyDescent="0.25">
      <c r="A11" s="422"/>
      <c r="B11" s="5" t="s">
        <v>99</v>
      </c>
      <c r="C11" s="5" t="s">
        <v>2</v>
      </c>
      <c r="D11" s="7">
        <v>2</v>
      </c>
      <c r="E11" s="8">
        <v>1</v>
      </c>
      <c r="F11" s="8">
        <v>2</v>
      </c>
      <c r="G11" s="5" t="s">
        <v>2</v>
      </c>
      <c r="H11" s="7">
        <v>2</v>
      </c>
      <c r="I11" s="7">
        <v>4</v>
      </c>
      <c r="J11" s="7">
        <v>5</v>
      </c>
      <c r="K11" s="5" t="s">
        <v>2</v>
      </c>
      <c r="L11" s="7">
        <v>3</v>
      </c>
      <c r="M11" s="5" t="s">
        <v>81</v>
      </c>
      <c r="N11" s="7">
        <v>4</v>
      </c>
    </row>
    <row r="12" spans="1:18" ht="15" x14ac:dyDescent="0.25">
      <c r="A12" s="422"/>
      <c r="B12" s="5" t="s">
        <v>100</v>
      </c>
      <c r="C12" s="5" t="s">
        <v>2</v>
      </c>
      <c r="D12" s="5" t="s">
        <v>101</v>
      </c>
      <c r="E12" s="8">
        <v>1</v>
      </c>
      <c r="F12" s="8">
        <v>2</v>
      </c>
      <c r="G12" s="7">
        <v>0</v>
      </c>
      <c r="H12" s="7">
        <v>2</v>
      </c>
      <c r="I12" s="5" t="s">
        <v>81</v>
      </c>
      <c r="J12" s="7">
        <v>4</v>
      </c>
      <c r="K12" s="5" t="s">
        <v>2</v>
      </c>
      <c r="L12" s="7">
        <v>3</v>
      </c>
      <c r="M12" s="7">
        <v>3</v>
      </c>
      <c r="N12" s="7">
        <v>5</v>
      </c>
    </row>
    <row r="13" spans="1:18" ht="15" x14ac:dyDescent="0.3">
      <c r="A13" s="423"/>
      <c r="B13" s="17" t="s">
        <v>102</v>
      </c>
      <c r="C13" s="5" t="s">
        <v>2</v>
      </c>
      <c r="D13" s="5" t="s">
        <v>103</v>
      </c>
      <c r="E13" s="18">
        <v>2</v>
      </c>
      <c r="F13" s="18">
        <v>4</v>
      </c>
      <c r="G13" s="7">
        <v>2</v>
      </c>
      <c r="H13" s="7">
        <v>3</v>
      </c>
      <c r="I13" s="7">
        <v>3</v>
      </c>
      <c r="J13" s="7">
        <v>5</v>
      </c>
      <c r="K13" s="7">
        <v>2</v>
      </c>
      <c r="L13" s="7">
        <v>3</v>
      </c>
      <c r="M13" s="7">
        <v>2</v>
      </c>
      <c r="N13" s="7">
        <v>4</v>
      </c>
      <c r="P13" s="29" t="s">
        <v>36</v>
      </c>
      <c r="Q13" s="28" t="s">
        <v>70</v>
      </c>
      <c r="R13" s="23">
        <v>3</v>
      </c>
    </row>
    <row r="14" spans="1:18" s="37" customFormat="1" ht="15" x14ac:dyDescent="0.25">
      <c r="A14" s="38"/>
      <c r="B14" s="31"/>
      <c r="C14" s="31"/>
      <c r="D14" s="31"/>
      <c r="E14" s="32"/>
      <c r="F14" s="32"/>
      <c r="G14" s="32"/>
      <c r="H14" s="32"/>
      <c r="I14" s="32"/>
      <c r="J14" s="32"/>
      <c r="K14" s="32"/>
      <c r="L14" s="32"/>
      <c r="M14" s="32"/>
      <c r="N14" s="32"/>
    </row>
    <row r="15" spans="1:18" ht="15" customHeight="1" x14ac:dyDescent="0.25">
      <c r="A15" s="421" t="s">
        <v>136</v>
      </c>
      <c r="B15" s="5" t="s">
        <v>104</v>
      </c>
      <c r="C15" s="5" t="s">
        <v>2</v>
      </c>
      <c r="D15" s="7">
        <v>3</v>
      </c>
      <c r="E15" s="6" t="s">
        <v>2</v>
      </c>
      <c r="F15" s="8">
        <v>3</v>
      </c>
      <c r="G15" s="7">
        <v>1</v>
      </c>
      <c r="H15" s="7">
        <v>2</v>
      </c>
      <c r="I15" s="7">
        <v>1</v>
      </c>
      <c r="J15" s="7">
        <v>2</v>
      </c>
      <c r="K15" s="7">
        <v>3</v>
      </c>
      <c r="L15" s="7">
        <v>4</v>
      </c>
      <c r="M15" s="5" t="s">
        <v>2</v>
      </c>
      <c r="N15" s="7">
        <v>3</v>
      </c>
    </row>
    <row r="16" spans="1:18" ht="15" x14ac:dyDescent="0.25">
      <c r="A16" s="422"/>
      <c r="B16" s="17" t="s">
        <v>105</v>
      </c>
      <c r="C16" s="5" t="s">
        <v>2</v>
      </c>
      <c r="D16" s="7">
        <v>3</v>
      </c>
      <c r="E16" s="18">
        <v>3</v>
      </c>
      <c r="F16" s="18">
        <v>5</v>
      </c>
      <c r="G16" s="5" t="s">
        <v>2</v>
      </c>
      <c r="H16" s="4"/>
      <c r="I16" s="5" t="s">
        <v>2</v>
      </c>
      <c r="J16" s="5" t="s">
        <v>81</v>
      </c>
      <c r="K16" s="5" t="s">
        <v>2</v>
      </c>
      <c r="L16" s="7">
        <v>2</v>
      </c>
      <c r="M16" s="7">
        <v>0</v>
      </c>
      <c r="N16" s="5" t="s">
        <v>2</v>
      </c>
      <c r="P16" s="3" t="s">
        <v>43</v>
      </c>
      <c r="Q16" s="22" t="s">
        <v>44</v>
      </c>
      <c r="R16" s="23">
        <v>3</v>
      </c>
    </row>
    <row r="17" spans="1:18" ht="15" x14ac:dyDescent="0.25">
      <c r="A17" s="422"/>
      <c r="B17" s="5" t="s">
        <v>106</v>
      </c>
      <c r="C17" s="7">
        <v>2</v>
      </c>
      <c r="D17" s="7">
        <v>4</v>
      </c>
      <c r="E17" s="8">
        <v>0</v>
      </c>
      <c r="F17" s="8">
        <v>2</v>
      </c>
      <c r="G17" s="5" t="s">
        <v>2</v>
      </c>
      <c r="H17" s="4"/>
      <c r="I17" s="5" t="s">
        <v>2</v>
      </c>
      <c r="J17" s="7">
        <v>3</v>
      </c>
      <c r="K17" s="7">
        <v>2</v>
      </c>
      <c r="L17" s="7">
        <v>4</v>
      </c>
      <c r="M17" s="5" t="s">
        <v>2</v>
      </c>
      <c r="N17" s="7">
        <v>3</v>
      </c>
    </row>
    <row r="18" spans="1:18" ht="15" x14ac:dyDescent="0.25">
      <c r="A18" s="422"/>
      <c r="B18" s="17" t="s">
        <v>107</v>
      </c>
      <c r="C18" s="7">
        <v>2</v>
      </c>
      <c r="D18" s="7">
        <v>4</v>
      </c>
      <c r="E18" s="17">
        <v>2</v>
      </c>
      <c r="F18" s="18">
        <v>4</v>
      </c>
      <c r="G18" s="5" t="s">
        <v>2</v>
      </c>
      <c r="H18" s="5"/>
      <c r="I18" s="5" t="s">
        <v>2</v>
      </c>
      <c r="J18" s="4"/>
      <c r="K18" s="5" t="s">
        <v>2</v>
      </c>
      <c r="L18" s="7">
        <v>3</v>
      </c>
      <c r="M18" s="5" t="s">
        <v>81</v>
      </c>
      <c r="N18" s="7">
        <v>3</v>
      </c>
      <c r="P18" s="3" t="s">
        <v>57</v>
      </c>
      <c r="Q18" s="48" t="s">
        <v>58</v>
      </c>
      <c r="R18" s="23">
        <v>3</v>
      </c>
    </row>
    <row r="19" spans="1:18" ht="15" x14ac:dyDescent="0.25">
      <c r="A19" s="422"/>
      <c r="B19" s="17" t="s">
        <v>108</v>
      </c>
      <c r="C19" s="7">
        <v>2</v>
      </c>
      <c r="D19" s="7">
        <v>4</v>
      </c>
      <c r="E19" s="17">
        <v>2</v>
      </c>
      <c r="F19" s="18">
        <v>4</v>
      </c>
      <c r="G19" s="4"/>
      <c r="H19" s="7">
        <v>4</v>
      </c>
      <c r="I19" s="5" t="s">
        <v>2</v>
      </c>
      <c r="J19" s="7">
        <v>3</v>
      </c>
      <c r="K19" s="7">
        <v>3</v>
      </c>
      <c r="L19" s="7">
        <v>4</v>
      </c>
      <c r="M19" s="7">
        <v>2</v>
      </c>
      <c r="N19" s="7">
        <v>2</v>
      </c>
      <c r="P19" s="27" t="s">
        <v>37</v>
      </c>
      <c r="Q19" s="28" t="s">
        <v>38</v>
      </c>
      <c r="R19" s="23">
        <v>3</v>
      </c>
    </row>
    <row r="20" spans="1:18" ht="15" x14ac:dyDescent="0.25">
      <c r="A20" s="422"/>
      <c r="B20" s="5" t="s">
        <v>109</v>
      </c>
      <c r="C20" s="7">
        <v>3</v>
      </c>
      <c r="D20" s="7">
        <v>5</v>
      </c>
      <c r="E20" s="8">
        <v>0</v>
      </c>
      <c r="F20" s="6">
        <v>2</v>
      </c>
      <c r="G20" s="5" t="s">
        <v>2</v>
      </c>
      <c r="H20" s="7">
        <v>3</v>
      </c>
      <c r="I20" s="7">
        <v>0</v>
      </c>
      <c r="J20" s="5" t="s">
        <v>2</v>
      </c>
      <c r="K20" s="5" t="s">
        <v>110</v>
      </c>
      <c r="L20" s="5" t="s">
        <v>2</v>
      </c>
      <c r="M20" s="7">
        <v>0</v>
      </c>
      <c r="N20" s="7">
        <v>3</v>
      </c>
    </row>
    <row r="21" spans="1:18" ht="15" x14ac:dyDescent="0.25">
      <c r="A21" s="422"/>
      <c r="B21" s="5" t="s">
        <v>111</v>
      </c>
      <c r="C21" s="5" t="s">
        <v>2</v>
      </c>
      <c r="D21" s="7">
        <v>2</v>
      </c>
      <c r="E21" s="8">
        <v>0</v>
      </c>
      <c r="F21" s="8">
        <v>2</v>
      </c>
      <c r="G21" s="7">
        <v>0</v>
      </c>
      <c r="H21" s="7">
        <v>2</v>
      </c>
      <c r="I21" s="5" t="s">
        <v>2</v>
      </c>
      <c r="J21" s="7">
        <v>3</v>
      </c>
      <c r="K21" s="7">
        <v>3</v>
      </c>
      <c r="L21" s="7">
        <v>4</v>
      </c>
      <c r="M21" s="5" t="s">
        <v>2</v>
      </c>
      <c r="N21" s="7">
        <v>3</v>
      </c>
    </row>
    <row r="22" spans="1:18" ht="15" x14ac:dyDescent="0.25">
      <c r="A22" s="422"/>
      <c r="B22" s="5" t="s">
        <v>112</v>
      </c>
      <c r="C22" s="7">
        <v>0</v>
      </c>
      <c r="D22" s="5" t="s">
        <v>2</v>
      </c>
      <c r="E22" s="6">
        <v>1</v>
      </c>
      <c r="F22" s="6">
        <v>2</v>
      </c>
      <c r="G22" s="5" t="s">
        <v>2</v>
      </c>
      <c r="H22" s="5" t="s">
        <v>113</v>
      </c>
      <c r="I22" s="7">
        <v>1</v>
      </c>
      <c r="J22" s="7">
        <v>3</v>
      </c>
      <c r="K22" s="9" t="s">
        <v>82</v>
      </c>
      <c r="L22" s="7">
        <v>4</v>
      </c>
      <c r="M22" s="7">
        <v>0</v>
      </c>
      <c r="N22" s="7">
        <v>2</v>
      </c>
    </row>
    <row r="23" spans="1:18" ht="15" x14ac:dyDescent="0.25">
      <c r="A23" s="423"/>
      <c r="B23" s="17" t="s">
        <v>114</v>
      </c>
      <c r="C23" s="7">
        <v>2</v>
      </c>
      <c r="D23" s="7">
        <v>3</v>
      </c>
      <c r="E23" s="18">
        <v>2</v>
      </c>
      <c r="F23" s="18">
        <v>4</v>
      </c>
      <c r="G23" s="7">
        <v>4</v>
      </c>
      <c r="H23" s="7">
        <v>5</v>
      </c>
      <c r="I23" s="5" t="s">
        <v>2</v>
      </c>
      <c r="J23" s="7">
        <v>3</v>
      </c>
      <c r="K23" s="5" t="s">
        <v>103</v>
      </c>
      <c r="L23" s="7">
        <v>4</v>
      </c>
      <c r="M23" s="5" t="s">
        <v>95</v>
      </c>
      <c r="N23" s="7">
        <v>4</v>
      </c>
      <c r="P23" s="3" t="s">
        <v>50</v>
      </c>
      <c r="Q23" s="48" t="s">
        <v>51</v>
      </c>
      <c r="R23" s="23">
        <v>3</v>
      </c>
    </row>
    <row r="24" spans="1:18" s="37" customFormat="1" ht="15" x14ac:dyDescent="0.25">
      <c r="A24" s="38"/>
      <c r="B24" s="31"/>
      <c r="C24" s="32"/>
      <c r="D24" s="32"/>
      <c r="E24" s="32"/>
      <c r="F24" s="32"/>
      <c r="G24" s="32"/>
      <c r="H24" s="32"/>
      <c r="I24" s="31"/>
      <c r="J24" s="32"/>
      <c r="K24" s="31"/>
      <c r="L24" s="32"/>
      <c r="M24" s="31"/>
      <c r="N24" s="32"/>
    </row>
    <row r="25" spans="1:18" ht="15.75" customHeight="1" x14ac:dyDescent="0.25">
      <c r="A25" s="418" t="s">
        <v>78</v>
      </c>
      <c r="B25" s="5" t="s">
        <v>115</v>
      </c>
      <c r="C25" s="7">
        <v>1</v>
      </c>
      <c r="D25" s="7">
        <v>3</v>
      </c>
      <c r="E25" s="6">
        <v>1</v>
      </c>
      <c r="F25" s="8">
        <v>3</v>
      </c>
      <c r="G25" s="10"/>
      <c r="H25" s="10"/>
      <c r="I25" s="7">
        <v>1</v>
      </c>
      <c r="J25" s="11"/>
      <c r="K25" s="7">
        <v>1</v>
      </c>
      <c r="L25" s="10"/>
      <c r="M25" s="7">
        <v>3</v>
      </c>
      <c r="N25" s="11" t="s">
        <v>116</v>
      </c>
    </row>
    <row r="26" spans="1:18" ht="15" x14ac:dyDescent="0.25">
      <c r="A26" s="419"/>
      <c r="B26" s="5" t="s">
        <v>117</v>
      </c>
      <c r="C26" s="7">
        <v>1</v>
      </c>
      <c r="D26" s="7">
        <v>2</v>
      </c>
      <c r="E26" s="8">
        <v>1</v>
      </c>
      <c r="F26" s="8">
        <v>3</v>
      </c>
      <c r="G26" s="5" t="s">
        <v>110</v>
      </c>
      <c r="H26" s="5" t="s">
        <v>81</v>
      </c>
      <c r="I26" s="5" t="s">
        <v>2</v>
      </c>
      <c r="J26" s="5" t="s">
        <v>118</v>
      </c>
      <c r="K26" s="7">
        <v>1</v>
      </c>
      <c r="L26" s="5" t="s">
        <v>118</v>
      </c>
      <c r="M26" s="7">
        <v>3</v>
      </c>
      <c r="N26" s="5" t="s">
        <v>119</v>
      </c>
    </row>
    <row r="27" spans="1:18" ht="15" customHeight="1" x14ac:dyDescent="0.25">
      <c r="A27" s="419"/>
      <c r="B27" s="5" t="s">
        <v>120</v>
      </c>
      <c r="C27" s="7">
        <v>1</v>
      </c>
      <c r="D27" s="7">
        <v>3</v>
      </c>
      <c r="E27" s="8">
        <v>1</v>
      </c>
      <c r="F27" s="8">
        <v>3</v>
      </c>
      <c r="G27" s="7">
        <v>1</v>
      </c>
      <c r="H27" s="12"/>
      <c r="I27" s="10"/>
      <c r="J27" s="12"/>
      <c r="K27" s="7">
        <v>1</v>
      </c>
      <c r="L27" s="13"/>
      <c r="M27" s="7">
        <v>4</v>
      </c>
      <c r="N27" s="13"/>
    </row>
    <row r="28" spans="1:18" ht="15" x14ac:dyDescent="0.3">
      <c r="A28" s="419"/>
      <c r="B28" s="17" t="s">
        <v>121</v>
      </c>
      <c r="C28" s="7">
        <v>2</v>
      </c>
      <c r="D28" s="7">
        <v>4</v>
      </c>
      <c r="E28" s="18">
        <v>2</v>
      </c>
      <c r="F28" s="18">
        <v>4</v>
      </c>
      <c r="G28" s="5" t="s">
        <v>2</v>
      </c>
      <c r="H28" s="12"/>
      <c r="I28" s="5" t="s">
        <v>2</v>
      </c>
      <c r="J28" s="12"/>
      <c r="K28" s="7">
        <v>1</v>
      </c>
      <c r="L28" s="13"/>
      <c r="M28" s="7">
        <v>4</v>
      </c>
      <c r="N28" s="13"/>
      <c r="P28" s="24" t="s">
        <v>32</v>
      </c>
      <c r="Q28" s="25" t="s">
        <v>33</v>
      </c>
      <c r="R28" s="26">
        <v>3</v>
      </c>
    </row>
    <row r="29" spans="1:18" ht="15" customHeight="1" x14ac:dyDescent="0.3">
      <c r="A29" s="419"/>
      <c r="B29" s="17" t="s">
        <v>77</v>
      </c>
      <c r="C29" s="7">
        <v>0</v>
      </c>
      <c r="D29" s="13">
        <v>1</v>
      </c>
      <c r="E29" s="18">
        <v>2</v>
      </c>
      <c r="F29" s="18">
        <v>4</v>
      </c>
      <c r="G29" s="7">
        <v>0</v>
      </c>
      <c r="H29" s="7">
        <v>1</v>
      </c>
      <c r="I29" s="5" t="s">
        <v>2</v>
      </c>
      <c r="J29" s="13"/>
      <c r="K29" s="14" t="s">
        <v>122</v>
      </c>
      <c r="L29" s="14" t="s">
        <v>123</v>
      </c>
      <c r="M29" s="15">
        <v>0</v>
      </c>
      <c r="N29" s="16"/>
      <c r="P29" s="24" t="s">
        <v>30</v>
      </c>
      <c r="Q29" s="25" t="s">
        <v>31</v>
      </c>
      <c r="R29" s="26">
        <v>3</v>
      </c>
    </row>
    <row r="30" spans="1:18" ht="15" customHeight="1" x14ac:dyDescent="0.25">
      <c r="A30" s="419"/>
      <c r="B30" s="5"/>
      <c r="C30" s="7"/>
      <c r="D30" s="13"/>
      <c r="E30" s="7"/>
      <c r="F30" s="7"/>
      <c r="G30" s="7"/>
      <c r="H30" s="7"/>
      <c r="I30" s="5"/>
      <c r="J30" s="13"/>
      <c r="K30" s="14"/>
      <c r="L30" s="14"/>
      <c r="M30" s="15"/>
      <c r="N30" s="16"/>
      <c r="P30" s="27" t="s">
        <v>47</v>
      </c>
      <c r="Q30" s="49" t="s">
        <v>71</v>
      </c>
      <c r="R30" s="23">
        <v>3</v>
      </c>
    </row>
    <row r="31" spans="1:18" s="37" customFormat="1" ht="15" customHeight="1" x14ac:dyDescent="0.25">
      <c r="A31" s="30"/>
      <c r="B31" s="31"/>
      <c r="C31" s="32"/>
      <c r="D31" s="33"/>
      <c r="E31" s="32"/>
      <c r="F31" s="32"/>
      <c r="G31" s="32"/>
      <c r="H31" s="32"/>
      <c r="I31" s="31"/>
      <c r="J31" s="33"/>
      <c r="K31" s="34"/>
      <c r="L31" s="34"/>
      <c r="M31" s="35"/>
      <c r="N31" s="36"/>
    </row>
    <row r="32" spans="1:18" ht="15" x14ac:dyDescent="0.25">
      <c r="A32" s="418" t="s">
        <v>79</v>
      </c>
      <c r="B32" s="17" t="s">
        <v>124</v>
      </c>
      <c r="C32" s="5" t="s">
        <v>2</v>
      </c>
      <c r="D32" s="13"/>
      <c r="E32" s="18">
        <v>2</v>
      </c>
      <c r="F32" s="18">
        <v>4</v>
      </c>
      <c r="G32" s="7">
        <v>0</v>
      </c>
      <c r="H32" s="5" t="s">
        <v>2</v>
      </c>
      <c r="I32" s="5" t="s">
        <v>2</v>
      </c>
      <c r="J32" s="13"/>
      <c r="K32" s="14"/>
      <c r="L32" s="14"/>
      <c r="M32" s="15"/>
      <c r="N32" s="16"/>
      <c r="P32" s="3" t="s">
        <v>62</v>
      </c>
      <c r="Q32" s="48" t="s">
        <v>63</v>
      </c>
      <c r="R32" s="23">
        <v>3</v>
      </c>
    </row>
    <row r="33" spans="1:18" ht="15" x14ac:dyDescent="0.3">
      <c r="A33" s="419"/>
      <c r="B33" s="17" t="s">
        <v>125</v>
      </c>
      <c r="C33" s="7">
        <v>2</v>
      </c>
      <c r="D33" s="7">
        <v>4</v>
      </c>
      <c r="E33" s="18">
        <v>3</v>
      </c>
      <c r="F33" s="18">
        <v>5</v>
      </c>
      <c r="G33" s="5" t="s">
        <v>126</v>
      </c>
      <c r="H33" s="7">
        <v>3</v>
      </c>
      <c r="I33" s="5" t="s">
        <v>2</v>
      </c>
      <c r="J33" s="5"/>
      <c r="K33" s="5" t="s">
        <v>2</v>
      </c>
      <c r="L33" s="7">
        <v>3</v>
      </c>
      <c r="M33" s="5" t="s">
        <v>2</v>
      </c>
      <c r="N33" s="7">
        <v>3</v>
      </c>
      <c r="P33" s="29" t="s">
        <v>39</v>
      </c>
      <c r="Q33" s="28" t="s">
        <v>40</v>
      </c>
      <c r="R33" s="23">
        <v>3</v>
      </c>
    </row>
    <row r="34" spans="1:18" ht="15" x14ac:dyDescent="0.25">
      <c r="A34" s="419"/>
      <c r="B34" s="17" t="s">
        <v>127</v>
      </c>
      <c r="C34" s="11">
        <v>0</v>
      </c>
      <c r="D34" s="7">
        <v>4</v>
      </c>
      <c r="E34" s="18">
        <v>4</v>
      </c>
      <c r="F34" s="18">
        <v>5</v>
      </c>
      <c r="G34" s="5" t="s">
        <v>2</v>
      </c>
      <c r="H34" s="10"/>
      <c r="I34" s="5" t="s">
        <v>2</v>
      </c>
      <c r="J34" s="10"/>
      <c r="K34" s="7">
        <v>1</v>
      </c>
      <c r="L34" s="11" t="s">
        <v>128</v>
      </c>
      <c r="M34" s="10"/>
      <c r="N34" s="7">
        <v>4</v>
      </c>
      <c r="P34" s="3" t="s">
        <v>5</v>
      </c>
      <c r="Q34" s="22" t="s">
        <v>6</v>
      </c>
      <c r="R34" s="23">
        <v>3</v>
      </c>
    </row>
    <row r="35" spans="1:18" ht="15" x14ac:dyDescent="0.25">
      <c r="A35" s="419"/>
      <c r="B35" s="17"/>
      <c r="C35" s="11"/>
      <c r="D35" s="7"/>
      <c r="E35" s="18"/>
      <c r="F35" s="18"/>
      <c r="G35" s="5"/>
      <c r="H35" s="10"/>
      <c r="I35" s="5"/>
      <c r="J35" s="10"/>
      <c r="K35" s="7"/>
      <c r="L35" s="11"/>
      <c r="M35" s="10"/>
      <c r="N35" s="7"/>
      <c r="P35" s="3" t="s">
        <v>41</v>
      </c>
      <c r="Q35" s="22" t="s">
        <v>42</v>
      </c>
      <c r="R35" s="23">
        <v>3</v>
      </c>
    </row>
    <row r="36" spans="1:18" ht="15" x14ac:dyDescent="0.25">
      <c r="A36" s="419"/>
      <c r="B36" s="17" t="s">
        <v>129</v>
      </c>
      <c r="C36" s="5" t="s">
        <v>103</v>
      </c>
      <c r="D36" s="10"/>
      <c r="E36" s="18">
        <v>3</v>
      </c>
      <c r="F36" s="18">
        <v>5</v>
      </c>
      <c r="G36" s="5" t="s">
        <v>2</v>
      </c>
      <c r="H36" s="5">
        <v>2</v>
      </c>
      <c r="I36" s="10"/>
      <c r="J36" s="7">
        <v>2</v>
      </c>
      <c r="K36" s="7">
        <v>1</v>
      </c>
      <c r="L36" s="7">
        <v>2</v>
      </c>
      <c r="M36" s="7">
        <v>2</v>
      </c>
      <c r="N36" s="10"/>
      <c r="P36" s="27" t="s">
        <v>18</v>
      </c>
      <c r="Q36" s="28" t="s">
        <v>19</v>
      </c>
      <c r="R36" s="23">
        <v>3</v>
      </c>
    </row>
    <row r="37" spans="1:18" ht="15" x14ac:dyDescent="0.3">
      <c r="A37" s="419"/>
      <c r="B37" s="17" t="s">
        <v>137</v>
      </c>
      <c r="C37" s="7">
        <v>2</v>
      </c>
      <c r="D37" s="7">
        <v>4</v>
      </c>
      <c r="E37" s="18">
        <v>4</v>
      </c>
      <c r="F37" s="18">
        <v>5</v>
      </c>
      <c r="G37" s="7">
        <v>2</v>
      </c>
      <c r="H37" s="7">
        <v>3</v>
      </c>
      <c r="I37" s="5" t="s">
        <v>2</v>
      </c>
      <c r="J37" s="7">
        <v>3</v>
      </c>
      <c r="K37" s="10"/>
      <c r="L37" s="7">
        <v>4</v>
      </c>
      <c r="M37" s="7">
        <v>3</v>
      </c>
      <c r="N37" s="7">
        <v>5</v>
      </c>
      <c r="P37" s="2" t="s">
        <v>16</v>
      </c>
      <c r="Q37" s="21" t="s">
        <v>17</v>
      </c>
      <c r="R37" s="23">
        <v>4</v>
      </c>
    </row>
    <row r="38" spans="1:18" ht="15" x14ac:dyDescent="0.3">
      <c r="A38" s="420"/>
      <c r="B38" s="17" t="s">
        <v>130</v>
      </c>
      <c r="C38" s="7">
        <v>2</v>
      </c>
      <c r="D38" s="7">
        <v>3</v>
      </c>
      <c r="E38" s="18">
        <v>2</v>
      </c>
      <c r="F38" s="18">
        <v>3</v>
      </c>
      <c r="G38" s="7">
        <v>1</v>
      </c>
      <c r="H38" s="7">
        <v>2</v>
      </c>
      <c r="I38" s="10"/>
      <c r="J38" s="10"/>
      <c r="K38" s="5" t="s">
        <v>2</v>
      </c>
      <c r="L38" s="7">
        <v>3</v>
      </c>
      <c r="M38" s="7">
        <v>2</v>
      </c>
      <c r="N38" s="7">
        <v>3</v>
      </c>
      <c r="P38" s="24" t="s">
        <v>20</v>
      </c>
      <c r="Q38" s="25" t="s">
        <v>21</v>
      </c>
      <c r="R38" s="26">
        <v>3</v>
      </c>
    </row>
    <row r="39" spans="1:18" s="37" customFormat="1" ht="15" x14ac:dyDescent="0.3">
      <c r="A39" s="30"/>
      <c r="B39" s="31"/>
      <c r="C39" s="32"/>
      <c r="D39" s="32"/>
      <c r="E39" s="32"/>
      <c r="F39" s="32"/>
      <c r="G39" s="32"/>
      <c r="H39" s="32"/>
      <c r="I39" s="44"/>
      <c r="J39" s="44"/>
      <c r="K39" s="31"/>
      <c r="L39" s="32"/>
      <c r="M39" s="32"/>
      <c r="N39" s="32"/>
      <c r="P39" s="45"/>
      <c r="Q39" s="46"/>
      <c r="R39" s="47"/>
    </row>
    <row r="40" spans="1:18" ht="15" x14ac:dyDescent="0.25">
      <c r="A40" s="418" t="s">
        <v>80</v>
      </c>
      <c r="B40" s="17" t="s">
        <v>131</v>
      </c>
      <c r="C40" s="7">
        <v>4</v>
      </c>
      <c r="D40" s="7">
        <v>5</v>
      </c>
      <c r="E40" s="18">
        <v>3</v>
      </c>
      <c r="F40" s="18">
        <v>4</v>
      </c>
      <c r="G40" s="10"/>
      <c r="H40" s="10"/>
      <c r="I40" s="10"/>
      <c r="J40" s="7">
        <v>3</v>
      </c>
      <c r="K40" s="10"/>
      <c r="L40" s="10"/>
      <c r="M40" s="10"/>
      <c r="N40" s="10"/>
      <c r="P40" s="3" t="s">
        <v>22</v>
      </c>
      <c r="Q40" s="22" t="s">
        <v>23</v>
      </c>
      <c r="R40" s="23">
        <v>3</v>
      </c>
    </row>
    <row r="41" spans="1:18" ht="15" x14ac:dyDescent="0.25">
      <c r="A41" s="419"/>
      <c r="B41" s="5" t="s">
        <v>132</v>
      </c>
      <c r="C41" s="7">
        <v>4</v>
      </c>
      <c r="D41" s="7">
        <v>5</v>
      </c>
      <c r="E41" s="8">
        <v>1</v>
      </c>
      <c r="F41" s="8">
        <v>2</v>
      </c>
      <c r="G41" s="7">
        <v>0</v>
      </c>
      <c r="H41" s="7">
        <v>2</v>
      </c>
      <c r="I41" s="7">
        <v>0</v>
      </c>
      <c r="J41" s="5" t="s">
        <v>2</v>
      </c>
      <c r="K41" s="7">
        <v>0</v>
      </c>
      <c r="L41" s="5" t="s">
        <v>2</v>
      </c>
      <c r="M41" s="7">
        <v>0</v>
      </c>
      <c r="N41" s="7">
        <v>2</v>
      </c>
    </row>
    <row r="42" spans="1:18" ht="15" x14ac:dyDescent="0.25">
      <c r="A42" s="419"/>
      <c r="B42" s="5" t="s">
        <v>133</v>
      </c>
      <c r="C42" s="7">
        <v>4</v>
      </c>
      <c r="D42" s="10"/>
      <c r="E42" s="8">
        <v>1</v>
      </c>
      <c r="F42" s="8">
        <v>2</v>
      </c>
      <c r="G42" s="10"/>
      <c r="H42" s="10"/>
      <c r="I42" s="10"/>
      <c r="J42" s="7">
        <v>2</v>
      </c>
      <c r="K42" s="10"/>
      <c r="L42" s="10"/>
      <c r="M42" s="10"/>
      <c r="N42" s="10"/>
    </row>
    <row r="43" spans="1:18" ht="15" x14ac:dyDescent="0.25">
      <c r="A43" s="420"/>
      <c r="B43" s="5" t="s">
        <v>134</v>
      </c>
      <c r="C43" s="5">
        <v>3</v>
      </c>
      <c r="D43" s="7">
        <v>4</v>
      </c>
      <c r="E43" s="8">
        <v>0</v>
      </c>
      <c r="F43" s="6" t="s">
        <v>2</v>
      </c>
      <c r="G43" s="7">
        <v>0</v>
      </c>
      <c r="H43" s="10"/>
      <c r="I43" s="7">
        <v>0</v>
      </c>
      <c r="J43" s="5" t="s">
        <v>2</v>
      </c>
      <c r="K43" s="7">
        <v>0</v>
      </c>
      <c r="L43" s="5" t="s">
        <v>2</v>
      </c>
      <c r="M43" s="5" t="s">
        <v>135</v>
      </c>
      <c r="N43" s="5" t="s">
        <v>2</v>
      </c>
    </row>
  </sheetData>
  <mergeCells count="13">
    <mergeCell ref="A32:A38"/>
    <mergeCell ref="A40:A43"/>
    <mergeCell ref="A3:A8"/>
    <mergeCell ref="A25:A30"/>
    <mergeCell ref="M1:N1"/>
    <mergeCell ref="A10:A13"/>
    <mergeCell ref="A15:A23"/>
    <mergeCell ref="A1:A2"/>
    <mergeCell ref="C1:D1"/>
    <mergeCell ref="E1:F1"/>
    <mergeCell ref="G1:H1"/>
    <mergeCell ref="I1:J1"/>
    <mergeCell ref="K1:L1"/>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52"/>
  <sheetViews>
    <sheetView topLeftCell="A52" zoomScale="145" zoomScaleNormal="145" workbookViewId="0">
      <selection activeCell="C28" sqref="C28"/>
    </sheetView>
  </sheetViews>
  <sheetFormatPr defaultRowHeight="13.8" x14ac:dyDescent="0.25"/>
  <cols>
    <col min="1" max="1" width="3.3984375" customWidth="1"/>
    <col min="3" max="3" width="119.69921875" customWidth="1"/>
    <col min="4" max="4" width="24.5" customWidth="1"/>
  </cols>
  <sheetData>
    <row r="2" spans="2:3" ht="14.25" customHeight="1" x14ac:dyDescent="0.25">
      <c r="B2" s="427" t="s">
        <v>167</v>
      </c>
      <c r="C2" s="100" t="s">
        <v>168</v>
      </c>
    </row>
    <row r="3" spans="2:3" x14ac:dyDescent="0.25">
      <c r="B3" s="428"/>
      <c r="C3" s="100" t="s">
        <v>169</v>
      </c>
    </row>
    <row r="4" spans="2:3" x14ac:dyDescent="0.25">
      <c r="B4" s="428"/>
      <c r="C4" s="100" t="s">
        <v>170</v>
      </c>
    </row>
    <row r="5" spans="2:3" x14ac:dyDescent="0.25">
      <c r="B5" s="428"/>
      <c r="C5" s="100" t="s">
        <v>236</v>
      </c>
    </row>
    <row r="6" spans="2:3" x14ac:dyDescent="0.25">
      <c r="B6" s="428"/>
      <c r="C6" s="100" t="s">
        <v>171</v>
      </c>
    </row>
    <row r="7" spans="2:3" x14ac:dyDescent="0.25">
      <c r="B7" s="428"/>
      <c r="C7" s="100" t="s">
        <v>172</v>
      </c>
    </row>
    <row r="8" spans="2:3" x14ac:dyDescent="0.25">
      <c r="B8" s="428"/>
      <c r="C8" s="100" t="s">
        <v>173</v>
      </c>
    </row>
    <row r="9" spans="2:3" x14ac:dyDescent="0.25">
      <c r="B9" s="428"/>
      <c r="C9" s="106" t="s">
        <v>174</v>
      </c>
    </row>
    <row r="10" spans="2:3" x14ac:dyDescent="0.25">
      <c r="B10" s="428"/>
      <c r="C10" s="101" t="s">
        <v>175</v>
      </c>
    </row>
    <row r="11" spans="2:3" x14ac:dyDescent="0.25">
      <c r="B11" s="428"/>
      <c r="C11" s="102"/>
    </row>
    <row r="12" spans="2:3" x14ac:dyDescent="0.25">
      <c r="B12" s="428"/>
      <c r="C12" s="101" t="s">
        <v>176</v>
      </c>
    </row>
    <row r="13" spans="2:3" ht="14.4" x14ac:dyDescent="0.3">
      <c r="B13" s="428"/>
      <c r="C13" s="103" t="s">
        <v>177</v>
      </c>
    </row>
    <row r="15" spans="2:3" ht="27.6" x14ac:dyDescent="0.25">
      <c r="B15" s="429" t="s">
        <v>186</v>
      </c>
      <c r="C15" s="100" t="s">
        <v>178</v>
      </c>
    </row>
    <row r="16" spans="2:3" x14ac:dyDescent="0.25">
      <c r="B16" s="429"/>
      <c r="C16" s="100" t="s">
        <v>179</v>
      </c>
    </row>
    <row r="17" spans="2:3" x14ac:dyDescent="0.25">
      <c r="B17" s="429"/>
      <c r="C17" s="100" t="s">
        <v>180</v>
      </c>
    </row>
    <row r="18" spans="2:3" x14ac:dyDescent="0.25">
      <c r="B18" s="429"/>
      <c r="C18" s="204" t="s">
        <v>181</v>
      </c>
    </row>
    <row r="19" spans="2:3" x14ac:dyDescent="0.25">
      <c r="B19" s="429"/>
      <c r="C19" s="158" t="s">
        <v>182</v>
      </c>
    </row>
    <row r="20" spans="2:3" x14ac:dyDescent="0.25">
      <c r="B20" s="429"/>
      <c r="C20" s="101" t="s">
        <v>183</v>
      </c>
    </row>
    <row r="21" spans="2:3" x14ac:dyDescent="0.25">
      <c r="B21" s="429"/>
      <c r="C21" s="101"/>
    </row>
    <row r="22" spans="2:3" x14ac:dyDescent="0.25">
      <c r="B22" s="429"/>
      <c r="C22" s="101" t="s">
        <v>184</v>
      </c>
    </row>
    <row r="23" spans="2:3" ht="14.4" x14ac:dyDescent="0.3">
      <c r="B23" s="429"/>
      <c r="C23" s="103" t="s">
        <v>185</v>
      </c>
    </row>
    <row r="24" spans="2:3" ht="14.4" thickBot="1" x14ac:dyDescent="0.3"/>
    <row r="25" spans="2:3" x14ac:dyDescent="0.25">
      <c r="B25" s="430" t="s">
        <v>187</v>
      </c>
      <c r="C25" s="97" t="s">
        <v>188</v>
      </c>
    </row>
    <row r="26" spans="2:3" x14ac:dyDescent="0.25">
      <c r="B26" s="431"/>
      <c r="C26" s="98" t="s">
        <v>189</v>
      </c>
    </row>
    <row r="27" spans="2:3" x14ac:dyDescent="0.25">
      <c r="B27" s="431"/>
      <c r="C27" s="205" t="s">
        <v>190</v>
      </c>
    </row>
    <row r="28" spans="2:3" x14ac:dyDescent="0.25">
      <c r="B28" s="431"/>
      <c r="C28" s="107" t="s">
        <v>191</v>
      </c>
    </row>
    <row r="29" spans="2:3" x14ac:dyDescent="0.25">
      <c r="B29" s="431"/>
      <c r="C29" s="205" t="s">
        <v>183</v>
      </c>
    </row>
    <row r="30" spans="2:3" x14ac:dyDescent="0.25">
      <c r="B30" s="431"/>
      <c r="C30" s="98"/>
    </row>
    <row r="31" spans="2:3" x14ac:dyDescent="0.25">
      <c r="B31" s="431"/>
      <c r="C31" s="98" t="s">
        <v>192</v>
      </c>
    </row>
    <row r="32" spans="2:3" ht="14.4" thickBot="1" x14ac:dyDescent="0.3">
      <c r="B32" s="432"/>
      <c r="C32" s="99" t="s">
        <v>193</v>
      </c>
    </row>
    <row r="33" spans="2:3" ht="14.4" thickBot="1" x14ac:dyDescent="0.3"/>
    <row r="34" spans="2:3" ht="27.6" x14ac:dyDescent="0.25">
      <c r="B34" s="430" t="s">
        <v>194</v>
      </c>
      <c r="C34" s="97" t="s">
        <v>195</v>
      </c>
    </row>
    <row r="35" spans="2:3" x14ac:dyDescent="0.25">
      <c r="B35" s="431"/>
      <c r="C35" s="203" t="s">
        <v>196</v>
      </c>
    </row>
    <row r="36" spans="2:3" x14ac:dyDescent="0.25">
      <c r="B36" s="431"/>
      <c r="C36" s="98" t="s">
        <v>197</v>
      </c>
    </row>
    <row r="37" spans="2:3" x14ac:dyDescent="0.25">
      <c r="B37" s="431"/>
      <c r="C37" s="98" t="s">
        <v>198</v>
      </c>
    </row>
    <row r="38" spans="2:3" x14ac:dyDescent="0.25">
      <c r="B38" s="431"/>
      <c r="C38" s="104"/>
    </row>
    <row r="39" spans="2:3" x14ac:dyDescent="0.25">
      <c r="B39" s="431"/>
      <c r="C39" s="98" t="s">
        <v>199</v>
      </c>
    </row>
    <row r="40" spans="2:3" x14ac:dyDescent="0.25">
      <c r="B40" s="431"/>
      <c r="C40" s="98"/>
    </row>
    <row r="41" spans="2:3" ht="27.6" x14ac:dyDescent="0.25">
      <c r="B41" s="431"/>
      <c r="C41" s="98" t="s">
        <v>200</v>
      </c>
    </row>
    <row r="42" spans="2:3" ht="14.4" thickBot="1" x14ac:dyDescent="0.3">
      <c r="B42" s="432"/>
      <c r="C42" s="99" t="s">
        <v>201</v>
      </c>
    </row>
    <row r="43" spans="2:3" ht="14.4" thickBot="1" x14ac:dyDescent="0.3"/>
    <row r="44" spans="2:3" ht="28.2" thickBot="1" x14ac:dyDescent="0.3">
      <c r="B44" s="433" t="s">
        <v>208</v>
      </c>
      <c r="C44" s="105" t="s">
        <v>209</v>
      </c>
    </row>
    <row r="45" spans="2:3" x14ac:dyDescent="0.25">
      <c r="B45" s="434"/>
      <c r="C45" s="98" t="s">
        <v>202</v>
      </c>
    </row>
    <row r="46" spans="2:3" x14ac:dyDescent="0.25">
      <c r="B46" s="434"/>
      <c r="C46" s="98" t="s">
        <v>203</v>
      </c>
    </row>
    <row r="47" spans="2:3" x14ac:dyDescent="0.25">
      <c r="B47" s="434"/>
      <c r="C47" s="98" t="s">
        <v>204</v>
      </c>
    </row>
    <row r="48" spans="2:3" x14ac:dyDescent="0.25">
      <c r="B48" s="434"/>
      <c r="C48" s="98" t="s">
        <v>205</v>
      </c>
    </row>
    <row r="49" spans="2:3" x14ac:dyDescent="0.25">
      <c r="B49" s="434"/>
      <c r="C49" s="98" t="s">
        <v>206</v>
      </c>
    </row>
    <row r="50" spans="2:3" x14ac:dyDescent="0.25">
      <c r="B50" s="434"/>
      <c r="C50" s="104"/>
    </row>
    <row r="51" spans="2:3" ht="27.6" x14ac:dyDescent="0.25">
      <c r="B51" s="434"/>
      <c r="C51" s="98" t="s">
        <v>207</v>
      </c>
    </row>
    <row r="52" spans="2:3" ht="14.4" thickBot="1" x14ac:dyDescent="0.3">
      <c r="B52" s="435"/>
      <c r="C52" s="99" t="s">
        <v>185</v>
      </c>
    </row>
  </sheetData>
  <mergeCells count="5">
    <mergeCell ref="B2:B13"/>
    <mergeCell ref="B15:B23"/>
    <mergeCell ref="B25:B32"/>
    <mergeCell ref="B34:B42"/>
    <mergeCell ref="B44:B52"/>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C885"/>
  <sheetViews>
    <sheetView topLeftCell="A38" zoomScale="115" zoomScaleNormal="115" workbookViewId="0">
      <selection activeCell="H92" sqref="H92"/>
    </sheetView>
  </sheetViews>
  <sheetFormatPr defaultColWidth="12.59765625" defaultRowHeight="15" customHeight="1" x14ac:dyDescent="0.25"/>
  <cols>
    <col min="1" max="1" width="5.3984375" customWidth="1"/>
    <col min="2" max="3" width="4.8984375" customWidth="1"/>
    <col min="4" max="4" width="7.59765625" customWidth="1"/>
    <col min="5" max="5" width="30.69921875" bestFit="1" customWidth="1"/>
    <col min="6" max="6" width="33.3984375" bestFit="1" customWidth="1"/>
    <col min="7" max="7" width="7.19921875" bestFit="1" customWidth="1"/>
    <col min="8" max="8" width="22.8984375" customWidth="1"/>
    <col min="9" max="9" width="21.19921875" customWidth="1"/>
    <col min="10" max="10" width="9" bestFit="1" customWidth="1"/>
    <col min="11" max="11" width="14.8984375" bestFit="1" customWidth="1"/>
    <col min="12" max="12" width="13.59765625" bestFit="1" customWidth="1"/>
    <col min="13" max="13" width="11.09765625" bestFit="1" customWidth="1"/>
    <col min="14" max="14" width="12.69921875" bestFit="1" customWidth="1"/>
    <col min="15" max="15" width="10.69921875" bestFit="1" customWidth="1"/>
    <col min="16" max="16" width="2.3984375" customWidth="1"/>
    <col min="17" max="17" width="9.59765625" customWidth="1"/>
    <col min="18" max="18" width="18" bestFit="1" customWidth="1"/>
    <col min="19" max="19" width="3.5" customWidth="1"/>
    <col min="20" max="20" width="5.09765625" bestFit="1" customWidth="1"/>
    <col min="21" max="21" width="1.8984375" customWidth="1"/>
    <col min="22" max="22" width="13.69921875" bestFit="1" customWidth="1"/>
    <col min="23" max="23" width="4.19921875" customWidth="1"/>
    <col min="24" max="29" width="7.59765625" customWidth="1"/>
  </cols>
  <sheetData>
    <row r="1" spans="2:29" ht="14.25" customHeight="1" x14ac:dyDescent="0.3">
      <c r="B1" s="1"/>
      <c r="C1" s="1"/>
      <c r="D1" s="1"/>
      <c r="E1" s="1"/>
      <c r="F1" s="1"/>
      <c r="G1" s="1"/>
      <c r="H1" s="1"/>
      <c r="I1" s="1"/>
      <c r="J1" s="1"/>
      <c r="K1" s="1"/>
      <c r="L1" s="1"/>
      <c r="M1" s="1"/>
      <c r="N1" s="1"/>
      <c r="O1" s="1"/>
      <c r="P1" s="1"/>
      <c r="Q1" s="50" t="s">
        <v>263</v>
      </c>
      <c r="R1" s="212" t="s">
        <v>265</v>
      </c>
      <c r="S1" s="50" t="s">
        <v>264</v>
      </c>
      <c r="T1" s="1"/>
      <c r="U1" s="1"/>
      <c r="V1" s="1"/>
      <c r="W1" s="1"/>
      <c r="X1" s="1"/>
      <c r="Y1" s="1"/>
      <c r="Z1" s="1"/>
      <c r="AA1" s="1"/>
      <c r="AB1" s="1"/>
      <c r="AC1" s="1"/>
    </row>
    <row r="2" spans="2:29" ht="14.25" customHeight="1" x14ac:dyDescent="0.3">
      <c r="B2" s="416" t="s">
        <v>440</v>
      </c>
      <c r="C2" s="416"/>
      <c r="D2" s="416"/>
      <c r="E2" s="416"/>
      <c r="F2" s="416"/>
      <c r="G2" s="416"/>
      <c r="H2" s="416"/>
      <c r="I2" s="416"/>
      <c r="J2" s="416"/>
      <c r="K2" s="416"/>
      <c r="L2" s="416"/>
      <c r="M2" s="416"/>
      <c r="N2" s="416"/>
      <c r="O2" s="416"/>
      <c r="P2" s="50"/>
      <c r="Q2" t="s">
        <v>277</v>
      </c>
      <c r="R2" s="212" t="s">
        <v>271</v>
      </c>
      <c r="S2" s="50" t="s">
        <v>266</v>
      </c>
      <c r="T2" s="213" t="s">
        <v>278</v>
      </c>
      <c r="U2" s="50"/>
      <c r="V2" s="1"/>
      <c r="W2" s="1"/>
      <c r="X2" s="1"/>
      <c r="Y2" s="1"/>
      <c r="Z2" s="1"/>
      <c r="AA2" s="1"/>
      <c r="AB2" s="1"/>
      <c r="AC2" s="1"/>
    </row>
    <row r="3" spans="2:29" ht="14.25" customHeight="1" x14ac:dyDescent="0.3">
      <c r="B3" s="417" t="s">
        <v>441</v>
      </c>
      <c r="C3" s="417"/>
      <c r="D3" s="417"/>
      <c r="E3" s="417"/>
      <c r="F3" s="417"/>
      <c r="G3" s="417"/>
      <c r="H3" s="417"/>
      <c r="I3" s="417"/>
      <c r="J3" s="417"/>
      <c r="K3" s="417"/>
      <c r="L3" s="417"/>
      <c r="M3" s="417"/>
      <c r="N3" s="417"/>
      <c r="O3" s="417"/>
      <c r="P3" s="50"/>
      <c r="Q3" s="50"/>
      <c r="R3" s="212" t="s">
        <v>1</v>
      </c>
      <c r="S3" s="50" t="s">
        <v>267</v>
      </c>
      <c r="T3" s="50" t="s">
        <v>279</v>
      </c>
      <c r="U3" s="50"/>
      <c r="V3" s="1"/>
      <c r="W3" s="1"/>
      <c r="X3" s="1"/>
      <c r="Y3" s="1"/>
      <c r="Z3" s="1"/>
      <c r="AA3" s="1"/>
      <c r="AB3" s="1"/>
      <c r="AC3" s="1"/>
    </row>
    <row r="4" spans="2:29" ht="14.25" customHeight="1" x14ac:dyDescent="0.3">
      <c r="B4" s="51"/>
      <c r="C4" s="51"/>
      <c r="D4" s="51"/>
      <c r="E4" s="51"/>
      <c r="F4" s="51"/>
      <c r="G4" s="51"/>
      <c r="H4" s="51"/>
      <c r="I4" s="51"/>
      <c r="J4" s="51">
        <v>1</v>
      </c>
      <c r="K4" s="51">
        <v>2</v>
      </c>
      <c r="L4" s="51">
        <v>3</v>
      </c>
      <c r="M4" s="51">
        <v>4</v>
      </c>
      <c r="N4" s="51">
        <v>5</v>
      </c>
      <c r="O4" s="51">
        <v>6</v>
      </c>
      <c r="P4" s="50"/>
      <c r="Q4" s="50"/>
      <c r="R4" s="212" t="s">
        <v>272</v>
      </c>
      <c r="S4" s="50" t="s">
        <v>268</v>
      </c>
      <c r="T4" s="50" t="s">
        <v>280</v>
      </c>
      <c r="U4" s="50"/>
      <c r="V4" s="1"/>
      <c r="W4" s="1"/>
      <c r="X4" s="1"/>
      <c r="Y4" s="1"/>
      <c r="Z4" s="1"/>
      <c r="AA4" s="1"/>
      <c r="AB4" s="1"/>
      <c r="AC4" s="1"/>
    </row>
    <row r="5" spans="2:29" ht="14.25" customHeight="1" x14ac:dyDescent="0.3">
      <c r="B5" s="152" t="s">
        <v>69</v>
      </c>
      <c r="C5" s="152" t="s">
        <v>1</v>
      </c>
      <c r="D5" s="153" t="s">
        <v>0</v>
      </c>
      <c r="E5" s="174" t="s">
        <v>364</v>
      </c>
      <c r="F5" s="188" t="s">
        <v>365</v>
      </c>
      <c r="G5" s="234" t="s">
        <v>1</v>
      </c>
      <c r="H5" s="188" t="s">
        <v>251</v>
      </c>
      <c r="I5" s="188" t="s">
        <v>252</v>
      </c>
      <c r="J5" s="154" t="s">
        <v>138</v>
      </c>
      <c r="K5" s="154" t="s">
        <v>210</v>
      </c>
      <c r="L5" s="154" t="s">
        <v>211</v>
      </c>
      <c r="M5" s="154" t="s">
        <v>212</v>
      </c>
      <c r="N5" s="154" t="s">
        <v>213</v>
      </c>
      <c r="O5" s="174" t="s">
        <v>214</v>
      </c>
      <c r="P5" s="50"/>
      <c r="Q5" s="50"/>
      <c r="R5" s="212" t="s">
        <v>274</v>
      </c>
      <c r="S5" s="50" t="s">
        <v>269</v>
      </c>
      <c r="T5" s="50" t="s">
        <v>454</v>
      </c>
      <c r="U5" s="50"/>
      <c r="V5" s="1" t="s">
        <v>455</v>
      </c>
      <c r="W5" s="1"/>
      <c r="X5" s="1"/>
      <c r="Y5" s="1"/>
      <c r="Z5" s="1"/>
      <c r="AA5" s="1"/>
      <c r="AB5" s="1"/>
      <c r="AC5" s="1"/>
    </row>
    <row r="6" spans="2:29" ht="14.25" customHeight="1" x14ac:dyDescent="0.3">
      <c r="B6" s="108" t="s">
        <v>2</v>
      </c>
      <c r="C6" s="108">
        <v>2</v>
      </c>
      <c r="D6" s="130" t="s">
        <v>286</v>
      </c>
      <c r="E6" s="52" t="s">
        <v>14</v>
      </c>
      <c r="F6" s="116" t="s">
        <v>370</v>
      </c>
      <c r="G6" s="237">
        <v>2</v>
      </c>
      <c r="H6" s="55"/>
      <c r="I6" s="55"/>
      <c r="J6" s="54">
        <v>2</v>
      </c>
      <c r="K6" s="54"/>
      <c r="L6" s="54"/>
      <c r="M6" s="54"/>
      <c r="N6" s="54"/>
      <c r="O6" s="176"/>
      <c r="P6" s="50"/>
      <c r="Q6" s="50"/>
      <c r="R6" s="212" t="s">
        <v>273</v>
      </c>
      <c r="S6" s="50" t="s">
        <v>270</v>
      </c>
      <c r="T6" s="50" t="s">
        <v>351</v>
      </c>
      <c r="U6" s="50"/>
      <c r="V6" s="1" t="s">
        <v>456</v>
      </c>
      <c r="W6" s="1"/>
      <c r="X6" s="1"/>
      <c r="Y6" s="1"/>
      <c r="Z6" s="1"/>
      <c r="AA6" s="1"/>
      <c r="AB6" s="1"/>
      <c r="AC6" s="1"/>
    </row>
    <row r="7" spans="2:29" ht="14.25" customHeight="1" x14ac:dyDescent="0.3">
      <c r="B7" s="108" t="s">
        <v>2</v>
      </c>
      <c r="C7" s="108">
        <v>2</v>
      </c>
      <c r="D7" s="130" t="s">
        <v>287</v>
      </c>
      <c r="E7" s="52" t="s">
        <v>11</v>
      </c>
      <c r="F7" s="116" t="s">
        <v>380</v>
      </c>
      <c r="G7" s="237">
        <v>2</v>
      </c>
      <c r="H7" s="55"/>
      <c r="I7" s="55"/>
      <c r="J7" s="54">
        <v>2</v>
      </c>
      <c r="K7" s="54"/>
      <c r="L7" s="54"/>
      <c r="M7" s="54"/>
      <c r="N7" s="54"/>
      <c r="O7" s="176"/>
      <c r="P7" s="50"/>
      <c r="R7" s="212" t="s">
        <v>276</v>
      </c>
      <c r="S7" s="50" t="s">
        <v>275</v>
      </c>
      <c r="T7" s="50"/>
      <c r="U7" s="50"/>
      <c r="V7" s="1"/>
      <c r="W7" s="1"/>
      <c r="X7" s="1"/>
      <c r="Y7" s="1"/>
      <c r="Z7" s="1"/>
      <c r="AA7" s="1"/>
      <c r="AB7" s="1"/>
      <c r="AC7" s="1"/>
    </row>
    <row r="8" spans="2:29" ht="14.25" customHeight="1" x14ac:dyDescent="0.3">
      <c r="B8" s="108" t="s">
        <v>2</v>
      </c>
      <c r="C8" s="108">
        <v>2</v>
      </c>
      <c r="D8" s="159" t="s">
        <v>281</v>
      </c>
      <c r="E8" s="52" t="s">
        <v>73</v>
      </c>
      <c r="F8" s="116" t="s">
        <v>369</v>
      </c>
      <c r="G8" s="237">
        <v>2</v>
      </c>
      <c r="H8" s="55"/>
      <c r="I8" s="55"/>
      <c r="J8" s="54">
        <v>2</v>
      </c>
      <c r="K8" s="54"/>
      <c r="L8" s="54"/>
      <c r="M8" s="54"/>
      <c r="N8" s="54"/>
      <c r="O8" s="176"/>
      <c r="P8" s="50"/>
      <c r="W8" s="1"/>
      <c r="X8" s="1"/>
      <c r="Y8" s="1"/>
      <c r="Z8" s="1"/>
      <c r="AA8" s="1"/>
      <c r="AB8" s="1"/>
      <c r="AC8" s="1"/>
    </row>
    <row r="9" spans="2:29" ht="14.25" customHeight="1" x14ac:dyDescent="0.3">
      <c r="B9" s="108" t="s">
        <v>2</v>
      </c>
      <c r="C9" s="108">
        <v>3</v>
      </c>
      <c r="D9" s="129" t="s">
        <v>289</v>
      </c>
      <c r="E9" s="74" t="s">
        <v>23</v>
      </c>
      <c r="F9" s="79" t="s">
        <v>384</v>
      </c>
      <c r="G9" s="235">
        <v>3</v>
      </c>
      <c r="H9" s="78" t="s">
        <v>240</v>
      </c>
      <c r="I9" s="78"/>
      <c r="J9" s="76"/>
      <c r="K9" s="75">
        <v>3</v>
      </c>
      <c r="L9" s="77"/>
      <c r="M9" s="77"/>
      <c r="N9" s="77"/>
      <c r="O9" s="175"/>
      <c r="P9" s="50"/>
      <c r="T9" s="50"/>
      <c r="U9" s="50"/>
      <c r="V9" s="1"/>
      <c r="W9" s="1"/>
      <c r="X9" s="1"/>
      <c r="Y9" s="1"/>
      <c r="Z9" s="1"/>
      <c r="AA9" s="1"/>
      <c r="AB9" s="1"/>
      <c r="AC9" s="1"/>
    </row>
    <row r="10" spans="2:29" ht="14.25" customHeight="1" x14ac:dyDescent="0.3">
      <c r="B10" s="108" t="s">
        <v>2</v>
      </c>
      <c r="C10" s="108">
        <v>3</v>
      </c>
      <c r="D10" s="160" t="s">
        <v>290</v>
      </c>
      <c r="E10" s="162" t="s">
        <v>10</v>
      </c>
      <c r="F10" s="245" t="s">
        <v>367</v>
      </c>
      <c r="G10" s="236">
        <v>3</v>
      </c>
      <c r="H10" s="112" t="s">
        <v>245</v>
      </c>
      <c r="I10" s="112"/>
      <c r="J10" s="111"/>
      <c r="K10" s="111"/>
      <c r="L10" s="111"/>
      <c r="M10" s="110">
        <v>3</v>
      </c>
      <c r="N10" s="111"/>
      <c r="O10" s="177"/>
      <c r="P10" s="50"/>
      <c r="Q10" s="159" t="s">
        <v>282</v>
      </c>
      <c r="R10" s="73" t="s">
        <v>3</v>
      </c>
      <c r="S10" s="288"/>
      <c r="T10" s="50"/>
      <c r="U10" s="50"/>
      <c r="V10" s="1"/>
      <c r="W10" s="1"/>
      <c r="X10" s="1"/>
      <c r="Y10" s="1"/>
      <c r="Z10" s="1"/>
      <c r="AA10" s="1"/>
      <c r="AB10" s="1"/>
      <c r="AC10" s="1"/>
    </row>
    <row r="11" spans="2:29" ht="14.25" customHeight="1" x14ac:dyDescent="0.3">
      <c r="B11" s="108" t="s">
        <v>2</v>
      </c>
      <c r="C11" s="108">
        <v>3</v>
      </c>
      <c r="D11" s="161" t="s">
        <v>291</v>
      </c>
      <c r="E11" s="162" t="s">
        <v>15</v>
      </c>
      <c r="F11" s="245" t="s">
        <v>368</v>
      </c>
      <c r="G11" s="236">
        <v>3</v>
      </c>
      <c r="H11" s="112" t="s">
        <v>238</v>
      </c>
      <c r="I11" s="112"/>
      <c r="J11" s="115"/>
      <c r="K11" s="111"/>
      <c r="L11" s="111"/>
      <c r="M11" s="110">
        <v>3</v>
      </c>
      <c r="N11" s="111"/>
      <c r="O11" s="177"/>
      <c r="P11" s="50"/>
      <c r="Q11" s="159" t="s">
        <v>283</v>
      </c>
      <c r="R11" s="73" t="s">
        <v>7</v>
      </c>
      <c r="S11" s="288"/>
      <c r="T11" s="50"/>
      <c r="U11" s="50"/>
      <c r="V11" s="1"/>
      <c r="W11" s="1"/>
      <c r="X11" s="1"/>
      <c r="Y11" s="1"/>
      <c r="Z11" s="1"/>
      <c r="AA11" s="1"/>
      <c r="AB11" s="1"/>
      <c r="AC11" s="1"/>
    </row>
    <row r="12" spans="2:29" ht="14.25" customHeight="1" x14ac:dyDescent="0.3">
      <c r="B12" s="108" t="s">
        <v>2</v>
      </c>
      <c r="C12" s="108">
        <v>4</v>
      </c>
      <c r="D12" s="128" t="s">
        <v>288</v>
      </c>
      <c r="E12" s="74" t="s">
        <v>216</v>
      </c>
      <c r="F12" s="79" t="s">
        <v>366</v>
      </c>
      <c r="G12" s="235">
        <v>4</v>
      </c>
      <c r="H12" s="78" t="s">
        <v>235</v>
      </c>
      <c r="I12" s="78"/>
      <c r="J12" s="76"/>
      <c r="K12" s="77">
        <v>4</v>
      </c>
      <c r="L12" s="77"/>
      <c r="M12" s="77"/>
      <c r="N12" s="77"/>
      <c r="O12" s="175"/>
      <c r="P12" s="50"/>
      <c r="Q12" s="159" t="s">
        <v>284</v>
      </c>
      <c r="R12" s="73" t="s">
        <v>8</v>
      </c>
      <c r="S12" s="288"/>
      <c r="T12" s="50"/>
      <c r="U12" s="50"/>
      <c r="V12" s="1"/>
      <c r="W12" s="1"/>
      <c r="X12" s="1"/>
      <c r="Y12" s="1"/>
      <c r="Z12" s="1"/>
      <c r="AA12" s="1"/>
      <c r="AB12" s="1"/>
      <c r="AC12" s="1"/>
    </row>
    <row r="13" spans="2:29" ht="14.25" customHeight="1" x14ac:dyDescent="0.3">
      <c r="B13" s="113" t="s">
        <v>4</v>
      </c>
      <c r="C13" s="113">
        <v>2</v>
      </c>
      <c r="D13" s="253" t="s">
        <v>292</v>
      </c>
      <c r="E13" s="52" t="s">
        <v>27</v>
      </c>
      <c r="F13" s="116" t="s">
        <v>383</v>
      </c>
      <c r="G13" s="237">
        <v>2</v>
      </c>
      <c r="H13" s="55"/>
      <c r="I13" s="55"/>
      <c r="J13" s="53">
        <v>2</v>
      </c>
      <c r="K13" s="57"/>
      <c r="L13" s="57"/>
      <c r="M13" s="57"/>
      <c r="N13" s="57"/>
      <c r="O13" s="176"/>
      <c r="P13" s="50"/>
      <c r="Q13" s="159" t="s">
        <v>285</v>
      </c>
      <c r="R13" s="73" t="s">
        <v>9</v>
      </c>
      <c r="S13" s="50"/>
      <c r="T13" s="50"/>
      <c r="U13" s="50"/>
      <c r="Y13" s="1"/>
      <c r="Z13" s="1"/>
      <c r="AA13" s="1"/>
      <c r="AB13" s="1"/>
      <c r="AC13" s="1"/>
    </row>
    <row r="14" spans="2:29" ht="14.25" customHeight="1" x14ac:dyDescent="0.3">
      <c r="B14" s="113" t="s">
        <v>4</v>
      </c>
      <c r="C14" s="113">
        <v>3</v>
      </c>
      <c r="D14" s="132" t="s">
        <v>293</v>
      </c>
      <c r="E14" s="225" t="s">
        <v>6</v>
      </c>
      <c r="F14" s="79" t="s">
        <v>371</v>
      </c>
      <c r="G14" s="235">
        <v>3</v>
      </c>
      <c r="H14" s="78"/>
      <c r="I14" s="78" t="s">
        <v>253</v>
      </c>
      <c r="J14" s="76"/>
      <c r="K14" s="75">
        <v>3</v>
      </c>
      <c r="L14" s="77"/>
      <c r="M14" s="77"/>
      <c r="N14" s="77"/>
      <c r="O14" s="175"/>
      <c r="P14" s="50"/>
      <c r="S14" s="50"/>
      <c r="T14" s="50"/>
      <c r="U14" s="50"/>
      <c r="V14" s="1"/>
      <c r="W14" s="1"/>
      <c r="X14" s="1"/>
      <c r="Y14" s="1"/>
      <c r="Z14" s="1"/>
      <c r="AA14" s="1"/>
      <c r="AB14" s="1"/>
      <c r="AC14" s="1"/>
    </row>
    <row r="15" spans="2:29" ht="14.25" customHeight="1" x14ac:dyDescent="0.3">
      <c r="B15" s="113" t="s">
        <v>4</v>
      </c>
      <c r="C15" s="113">
        <v>3</v>
      </c>
      <c r="D15" s="131" t="s">
        <v>294</v>
      </c>
      <c r="E15" s="225" t="s">
        <v>19</v>
      </c>
      <c r="F15" s="79" t="s">
        <v>372</v>
      </c>
      <c r="G15" s="235">
        <v>3</v>
      </c>
      <c r="H15" s="78"/>
      <c r="I15" s="78" t="s">
        <v>235</v>
      </c>
      <c r="J15" s="76"/>
      <c r="K15" s="75">
        <v>3</v>
      </c>
      <c r="L15" s="77"/>
      <c r="M15" s="77"/>
      <c r="N15" s="77"/>
      <c r="O15" s="175"/>
      <c r="P15" s="50"/>
      <c r="S15" s="50"/>
      <c r="T15" s="50"/>
      <c r="U15" s="50"/>
      <c r="V15" s="1"/>
      <c r="W15" s="1"/>
      <c r="X15" s="1"/>
      <c r="Y15" s="1"/>
      <c r="Z15" s="1"/>
      <c r="AA15" s="1"/>
      <c r="AB15" s="1"/>
      <c r="AC15" s="1"/>
    </row>
    <row r="16" spans="2:29" ht="14.25" customHeight="1" x14ac:dyDescent="0.3">
      <c r="B16" s="113" t="s">
        <v>4</v>
      </c>
      <c r="C16" s="113">
        <v>3</v>
      </c>
      <c r="D16" s="289" t="s">
        <v>295</v>
      </c>
      <c r="E16" s="210" t="s">
        <v>21</v>
      </c>
      <c r="F16" s="79" t="s">
        <v>373</v>
      </c>
      <c r="G16" s="240">
        <v>3</v>
      </c>
      <c r="H16" s="78"/>
      <c r="I16" s="202" t="s">
        <v>240</v>
      </c>
      <c r="J16" s="211"/>
      <c r="K16" s="80">
        <v>3</v>
      </c>
      <c r="L16" s="81"/>
      <c r="M16" s="81"/>
      <c r="N16" s="81"/>
      <c r="O16" s="175"/>
      <c r="P16" s="50"/>
      <c r="Q16" s="50"/>
      <c r="R16" s="50"/>
      <c r="S16" s="50"/>
      <c r="T16" s="50"/>
      <c r="U16" s="50"/>
      <c r="V16" s="1"/>
      <c r="W16" s="1"/>
      <c r="X16" s="1"/>
      <c r="Y16" s="1"/>
      <c r="Z16" s="1"/>
      <c r="AA16" s="1"/>
      <c r="AB16" s="1"/>
      <c r="AC16" s="1"/>
    </row>
    <row r="17" spans="2:29" ht="14.25" customHeight="1" x14ac:dyDescent="0.3">
      <c r="B17" s="113" t="s">
        <v>4</v>
      </c>
      <c r="C17" s="113">
        <v>3</v>
      </c>
      <c r="D17" s="133" t="s">
        <v>296</v>
      </c>
      <c r="E17" s="226" t="s">
        <v>298</v>
      </c>
      <c r="F17" s="119" t="s">
        <v>375</v>
      </c>
      <c r="G17" s="238">
        <v>3</v>
      </c>
      <c r="H17" s="109"/>
      <c r="I17" s="109" t="s">
        <v>236</v>
      </c>
      <c r="J17" s="83"/>
      <c r="K17" s="60"/>
      <c r="L17" s="60">
        <v>3</v>
      </c>
      <c r="M17" s="108"/>
      <c r="N17" s="108"/>
      <c r="O17" s="178"/>
      <c r="P17" s="50"/>
      <c r="Q17" s="50"/>
      <c r="R17" s="50"/>
      <c r="S17" s="50"/>
      <c r="T17" s="50"/>
      <c r="U17" s="50"/>
      <c r="V17" s="1"/>
      <c r="W17" s="1"/>
      <c r="X17" s="1"/>
      <c r="Y17" s="1"/>
      <c r="Z17" s="1"/>
      <c r="AA17" s="1"/>
      <c r="AB17" s="1"/>
      <c r="AC17" s="1"/>
    </row>
    <row r="18" spans="2:29" ht="14.25" customHeight="1" x14ac:dyDescent="0.3">
      <c r="B18" s="113" t="s">
        <v>4</v>
      </c>
      <c r="C18" s="113">
        <v>3</v>
      </c>
      <c r="D18" s="255" t="s">
        <v>297</v>
      </c>
      <c r="E18" s="257" t="s">
        <v>139</v>
      </c>
      <c r="F18" s="245" t="s">
        <v>374</v>
      </c>
      <c r="G18" s="292">
        <v>3</v>
      </c>
      <c r="H18" s="112"/>
      <c r="I18" s="112" t="s">
        <v>239</v>
      </c>
      <c r="J18" s="115"/>
      <c r="K18" s="293"/>
      <c r="L18" s="111"/>
      <c r="M18" s="110">
        <v>3</v>
      </c>
      <c r="N18" s="111"/>
      <c r="O18" s="177"/>
      <c r="P18" s="50"/>
      <c r="Q18" s="50"/>
      <c r="R18" s="50"/>
      <c r="S18" s="50"/>
      <c r="T18" s="50"/>
      <c r="U18" s="50"/>
      <c r="V18" s="1"/>
      <c r="W18" s="1"/>
      <c r="X18" s="1"/>
      <c r="Y18" s="1"/>
      <c r="Z18" s="1"/>
      <c r="AA18" s="1"/>
      <c r="AB18" s="1"/>
      <c r="AC18" s="1"/>
    </row>
    <row r="19" spans="2:29" ht="14.25" customHeight="1" x14ac:dyDescent="0.3">
      <c r="B19" s="134" t="s">
        <v>4</v>
      </c>
      <c r="C19" s="134">
        <v>3</v>
      </c>
      <c r="D19" s="157" t="s">
        <v>465</v>
      </c>
      <c r="E19" s="226" t="s">
        <v>33</v>
      </c>
      <c r="F19" s="119" t="s">
        <v>382</v>
      </c>
      <c r="G19" s="238">
        <v>3</v>
      </c>
      <c r="H19" s="109"/>
      <c r="I19" s="109" t="s">
        <v>255</v>
      </c>
      <c r="J19" s="83"/>
      <c r="K19" s="108"/>
      <c r="L19" s="60">
        <v>3</v>
      </c>
      <c r="M19" s="108"/>
      <c r="N19" s="108"/>
      <c r="O19" s="178"/>
      <c r="P19" s="50"/>
      <c r="Q19" s="155" t="s">
        <v>163</v>
      </c>
      <c r="R19" s="155"/>
      <c r="S19" s="50"/>
      <c r="T19" s="50"/>
      <c r="U19" s="50"/>
      <c r="V19" s="1"/>
      <c r="W19" s="1"/>
      <c r="X19" s="1"/>
      <c r="Y19" s="1"/>
      <c r="Z19" s="1"/>
      <c r="AA19" s="1"/>
      <c r="AB19" s="1"/>
      <c r="AC19" s="1"/>
    </row>
    <row r="20" spans="2:29" ht="14.25" customHeight="1" x14ac:dyDescent="0.3">
      <c r="B20" s="113" t="s">
        <v>24</v>
      </c>
      <c r="C20" s="113">
        <v>2</v>
      </c>
      <c r="D20" s="128" t="s">
        <v>466</v>
      </c>
      <c r="E20" s="59" t="s">
        <v>376</v>
      </c>
      <c r="F20" s="58" t="s">
        <v>218</v>
      </c>
      <c r="G20" s="235">
        <v>2</v>
      </c>
      <c r="H20" s="78"/>
      <c r="I20" s="78" t="s">
        <v>243</v>
      </c>
      <c r="J20" s="77"/>
      <c r="K20" s="77">
        <v>2</v>
      </c>
      <c r="L20" s="75"/>
      <c r="M20" s="77"/>
      <c r="N20" s="77"/>
      <c r="O20" s="175"/>
      <c r="P20" s="50"/>
      <c r="S20" s="50"/>
      <c r="T20" s="50"/>
      <c r="U20" s="50"/>
      <c r="V20" s="1"/>
      <c r="W20" s="1"/>
      <c r="X20" s="1"/>
      <c r="Y20" s="1"/>
      <c r="Z20" s="1"/>
      <c r="AA20" s="1"/>
      <c r="AB20" s="1"/>
      <c r="AC20" s="1"/>
    </row>
    <row r="21" spans="2:29" ht="14.25" customHeight="1" x14ac:dyDescent="0.3">
      <c r="B21" s="134" t="s">
        <v>24</v>
      </c>
      <c r="C21" s="134">
        <v>2</v>
      </c>
      <c r="D21" s="130" t="s">
        <v>299</v>
      </c>
      <c r="E21" s="52" t="s">
        <v>25</v>
      </c>
      <c r="F21" s="116" t="s">
        <v>25</v>
      </c>
      <c r="G21" s="237">
        <v>2</v>
      </c>
      <c r="H21" s="55"/>
      <c r="I21" s="55"/>
      <c r="J21" s="53">
        <v>2</v>
      </c>
      <c r="K21" s="54"/>
      <c r="L21" s="54"/>
      <c r="M21" s="54"/>
      <c r="N21" s="54"/>
      <c r="O21" s="176"/>
      <c r="P21" s="50"/>
      <c r="W21" s="1"/>
      <c r="X21" s="1"/>
      <c r="Y21" s="1"/>
      <c r="Z21" s="1"/>
      <c r="AA21" s="1"/>
      <c r="AB21" s="1"/>
      <c r="AC21" s="1"/>
    </row>
    <row r="22" spans="2:29" ht="14.25" customHeight="1" x14ac:dyDescent="0.3">
      <c r="B22" s="134" t="s">
        <v>24</v>
      </c>
      <c r="C22" s="134">
        <v>2</v>
      </c>
      <c r="D22" s="290" t="s">
        <v>300</v>
      </c>
      <c r="E22" s="227" t="s">
        <v>28</v>
      </c>
      <c r="F22" s="116" t="s">
        <v>379</v>
      </c>
      <c r="G22" s="237">
        <v>2</v>
      </c>
      <c r="H22" s="55"/>
      <c r="I22" s="55"/>
      <c r="J22" s="53">
        <v>2</v>
      </c>
      <c r="K22" s="54"/>
      <c r="L22" s="54"/>
      <c r="M22" s="54"/>
      <c r="N22" s="54"/>
      <c r="O22" s="176"/>
      <c r="P22" s="50"/>
      <c r="W22" s="1"/>
      <c r="X22" s="1"/>
      <c r="Y22" s="1"/>
      <c r="Z22" s="1"/>
      <c r="AA22" s="1"/>
      <c r="AB22" s="1"/>
      <c r="AC22" s="1"/>
    </row>
    <row r="23" spans="2:29" ht="14.25" customHeight="1" x14ac:dyDescent="0.3">
      <c r="B23" s="134" t="s">
        <v>24</v>
      </c>
      <c r="C23" s="134">
        <v>2</v>
      </c>
      <c r="D23" s="132" t="s">
        <v>304</v>
      </c>
      <c r="E23" s="291" t="s">
        <v>217</v>
      </c>
      <c r="F23" s="78" t="s">
        <v>378</v>
      </c>
      <c r="G23" s="239">
        <v>2</v>
      </c>
      <c r="H23" s="78" t="s">
        <v>241</v>
      </c>
      <c r="I23" s="78"/>
      <c r="J23" s="76"/>
      <c r="K23" s="156">
        <v>2</v>
      </c>
      <c r="L23" s="77"/>
      <c r="M23" s="77"/>
      <c r="N23" s="77"/>
      <c r="O23" s="175"/>
      <c r="P23" s="50"/>
      <c r="W23" s="1"/>
      <c r="X23" s="1"/>
      <c r="Y23" s="1"/>
      <c r="Z23" s="1"/>
      <c r="AA23" s="1"/>
      <c r="AB23" s="1"/>
      <c r="AC23" s="1"/>
    </row>
    <row r="24" spans="2:29" ht="14.25" customHeight="1" x14ac:dyDescent="0.3">
      <c r="B24" s="134" t="s">
        <v>24</v>
      </c>
      <c r="C24" s="134">
        <v>3</v>
      </c>
      <c r="D24" s="129" t="s">
        <v>301</v>
      </c>
      <c r="E24" s="74" t="s">
        <v>377</v>
      </c>
      <c r="F24" s="79" t="s">
        <v>215</v>
      </c>
      <c r="G24" s="235">
        <v>3</v>
      </c>
      <c r="H24" s="78" t="s">
        <v>239</v>
      </c>
      <c r="I24" s="78" t="s">
        <v>246</v>
      </c>
      <c r="J24" s="76"/>
      <c r="K24" s="75">
        <v>3</v>
      </c>
      <c r="L24" s="77"/>
      <c r="M24" s="77"/>
      <c r="N24" s="77"/>
      <c r="O24" s="175"/>
      <c r="P24" s="50"/>
      <c r="Q24" s="50"/>
      <c r="R24" s="50"/>
      <c r="S24" s="50"/>
      <c r="T24" s="50"/>
      <c r="U24" s="50"/>
      <c r="V24" s="1"/>
      <c r="W24" s="1"/>
      <c r="X24" s="1"/>
      <c r="Y24" s="1"/>
      <c r="Z24" s="1"/>
      <c r="AA24" s="1"/>
      <c r="AB24" s="1"/>
      <c r="AC24" s="1"/>
    </row>
    <row r="25" spans="2:29" ht="14.25" customHeight="1" x14ac:dyDescent="0.3">
      <c r="B25" s="134" t="s">
        <v>24</v>
      </c>
      <c r="C25" s="134">
        <v>3</v>
      </c>
      <c r="D25" s="131" t="s">
        <v>302</v>
      </c>
      <c r="E25" s="225" t="s">
        <v>42</v>
      </c>
      <c r="F25" s="79" t="s">
        <v>381</v>
      </c>
      <c r="G25" s="235">
        <v>3</v>
      </c>
      <c r="H25" s="78" t="s">
        <v>243</v>
      </c>
      <c r="I25" s="78"/>
      <c r="J25" s="76"/>
      <c r="K25" s="75">
        <v>3</v>
      </c>
      <c r="L25" s="77"/>
      <c r="M25" s="81"/>
      <c r="N25" s="81"/>
      <c r="O25" s="175"/>
      <c r="P25" s="50"/>
      <c r="Q25" s="50"/>
      <c r="R25" s="50"/>
      <c r="S25" s="50"/>
      <c r="T25" s="50"/>
      <c r="U25" s="50"/>
      <c r="V25" s="1"/>
      <c r="W25" s="1"/>
      <c r="X25" s="1"/>
      <c r="Y25" s="1"/>
      <c r="Z25" s="1"/>
      <c r="AA25" s="1"/>
      <c r="AB25" s="1"/>
      <c r="AC25" s="1"/>
    </row>
    <row r="26" spans="2:29" ht="14.25" customHeight="1" x14ac:dyDescent="0.3">
      <c r="B26" s="134" t="s">
        <v>24</v>
      </c>
      <c r="C26" s="134">
        <v>3</v>
      </c>
      <c r="D26" s="132" t="s">
        <v>303</v>
      </c>
      <c r="E26" s="225" t="s">
        <v>40</v>
      </c>
      <c r="F26" s="79" t="s">
        <v>457</v>
      </c>
      <c r="G26" s="235">
        <v>3</v>
      </c>
      <c r="H26" s="78"/>
      <c r="I26" s="78" t="s">
        <v>246</v>
      </c>
      <c r="J26" s="76"/>
      <c r="K26" s="75">
        <v>3</v>
      </c>
      <c r="L26" s="77"/>
      <c r="M26" s="77"/>
      <c r="N26" s="77"/>
      <c r="O26" s="175"/>
      <c r="P26" s="50"/>
      <c r="Q26" s="155" t="s">
        <v>162</v>
      </c>
      <c r="R26" s="155"/>
      <c r="S26" s="50"/>
      <c r="T26" s="50"/>
      <c r="U26" s="50"/>
      <c r="V26" s="1"/>
      <c r="W26" s="1"/>
      <c r="X26" s="1"/>
      <c r="Y26" s="1"/>
      <c r="Z26" s="1"/>
      <c r="AA26" s="1"/>
      <c r="AB26" s="1"/>
      <c r="AC26" s="1"/>
    </row>
    <row r="27" spans="2:29" ht="14.25" customHeight="1" x14ac:dyDescent="0.3">
      <c r="B27" s="134" t="s">
        <v>24</v>
      </c>
      <c r="C27" s="134">
        <v>3</v>
      </c>
      <c r="D27" s="143" t="s">
        <v>305</v>
      </c>
      <c r="E27" s="209" t="s">
        <v>31</v>
      </c>
      <c r="F27" s="119" t="s">
        <v>386</v>
      </c>
      <c r="G27" s="238">
        <v>3</v>
      </c>
      <c r="H27" s="109"/>
      <c r="I27" s="109" t="s">
        <v>235</v>
      </c>
      <c r="J27" s="83"/>
      <c r="K27" s="108"/>
      <c r="L27" s="60">
        <v>3</v>
      </c>
      <c r="M27" s="83"/>
      <c r="N27" s="83"/>
      <c r="O27" s="178"/>
      <c r="P27" s="50"/>
      <c r="Q27" s="155" t="s">
        <v>162</v>
      </c>
      <c r="R27" s="155"/>
      <c r="S27" s="50"/>
      <c r="T27" s="50"/>
      <c r="U27" s="50"/>
      <c r="V27" s="1"/>
      <c r="W27" s="1"/>
      <c r="X27" s="1"/>
      <c r="Y27" s="1"/>
      <c r="Z27" s="1"/>
      <c r="AA27" s="1"/>
      <c r="AB27" s="1"/>
      <c r="AC27" s="1"/>
    </row>
    <row r="28" spans="2:29" ht="14.25" customHeight="1" x14ac:dyDescent="0.3">
      <c r="B28" s="108" t="s">
        <v>26</v>
      </c>
      <c r="C28" s="108">
        <v>2</v>
      </c>
      <c r="D28" s="265" t="s">
        <v>306</v>
      </c>
      <c r="E28" s="272" t="s">
        <v>29</v>
      </c>
      <c r="F28" s="116" t="s">
        <v>391</v>
      </c>
      <c r="G28" s="279">
        <v>2</v>
      </c>
      <c r="H28" s="55"/>
      <c r="I28" s="282"/>
      <c r="J28" s="284">
        <v>2</v>
      </c>
      <c r="K28" s="57"/>
      <c r="L28" s="57"/>
      <c r="M28" s="57"/>
      <c r="N28" s="57"/>
      <c r="O28" s="176"/>
      <c r="P28" s="50"/>
      <c r="W28" s="1"/>
      <c r="X28" s="1"/>
      <c r="Y28" s="1"/>
      <c r="Z28" s="1"/>
      <c r="AA28" s="1"/>
      <c r="AB28" s="1"/>
      <c r="AC28" s="1"/>
    </row>
    <row r="29" spans="2:29" ht="14.25" customHeight="1" x14ac:dyDescent="0.3">
      <c r="B29" s="108" t="s">
        <v>26</v>
      </c>
      <c r="C29" s="108">
        <v>2</v>
      </c>
      <c r="D29" s="129" t="s">
        <v>307</v>
      </c>
      <c r="E29" s="74" t="s">
        <v>44</v>
      </c>
      <c r="F29" s="79" t="s">
        <v>387</v>
      </c>
      <c r="G29" s="235">
        <v>2</v>
      </c>
      <c r="H29" s="78"/>
      <c r="I29" s="78" t="s">
        <v>254</v>
      </c>
      <c r="J29" s="76"/>
      <c r="K29" s="75">
        <v>3</v>
      </c>
      <c r="L29" s="77"/>
      <c r="M29" s="77"/>
      <c r="N29" s="77"/>
      <c r="O29" s="175"/>
      <c r="P29" s="50"/>
      <c r="Q29" s="50"/>
      <c r="R29" s="50"/>
      <c r="S29" s="50"/>
      <c r="T29" s="50"/>
      <c r="U29" s="50"/>
      <c r="V29" s="1"/>
      <c r="W29" s="1"/>
      <c r="X29" s="1"/>
      <c r="Y29" s="1"/>
      <c r="Z29" s="1"/>
      <c r="AA29" s="1"/>
      <c r="AB29" s="1"/>
      <c r="AC29" s="1"/>
    </row>
    <row r="30" spans="2:29" ht="14.25" customHeight="1" x14ac:dyDescent="0.3">
      <c r="B30" s="108" t="s">
        <v>26</v>
      </c>
      <c r="C30" s="108">
        <v>3</v>
      </c>
      <c r="D30" s="135" t="s">
        <v>308</v>
      </c>
      <c r="E30" s="210" t="s">
        <v>38</v>
      </c>
      <c r="F30" s="79" t="s">
        <v>388</v>
      </c>
      <c r="G30" s="240">
        <v>3</v>
      </c>
      <c r="H30" s="78"/>
      <c r="I30" s="202" t="s">
        <v>240</v>
      </c>
      <c r="J30" s="211"/>
      <c r="K30" s="80">
        <v>3</v>
      </c>
      <c r="L30" s="81"/>
      <c r="M30" s="81"/>
      <c r="N30" s="81"/>
      <c r="O30" s="175"/>
      <c r="P30" s="50"/>
      <c r="Q30" s="50"/>
      <c r="R30" s="50"/>
      <c r="S30" s="50"/>
      <c r="T30" s="50"/>
      <c r="U30" s="50"/>
      <c r="V30" s="1"/>
      <c r="W30" s="1"/>
      <c r="X30" s="1"/>
      <c r="Y30" s="1"/>
      <c r="Z30" s="1"/>
      <c r="AA30" s="1"/>
      <c r="AB30" s="1"/>
      <c r="AC30" s="1"/>
    </row>
    <row r="31" spans="2:29" ht="14.25" customHeight="1" x14ac:dyDescent="0.3">
      <c r="B31" s="108" t="s">
        <v>26</v>
      </c>
      <c r="C31" s="108">
        <v>3</v>
      </c>
      <c r="D31" s="132" t="s">
        <v>309</v>
      </c>
      <c r="E31" s="225" t="s">
        <v>54</v>
      </c>
      <c r="F31" s="79" t="s">
        <v>389</v>
      </c>
      <c r="G31" s="235">
        <v>3</v>
      </c>
      <c r="H31" s="214" t="s">
        <v>244</v>
      </c>
      <c r="I31" s="214"/>
      <c r="J31" s="76"/>
      <c r="K31" s="75">
        <v>3</v>
      </c>
      <c r="L31" s="77"/>
      <c r="M31" s="77"/>
      <c r="N31" s="77"/>
      <c r="O31" s="215"/>
      <c r="P31" s="50"/>
      <c r="Q31" s="50"/>
      <c r="R31" s="50"/>
      <c r="S31" s="50"/>
      <c r="T31" s="50"/>
      <c r="U31" s="50"/>
      <c r="V31" s="1"/>
      <c r="W31" s="1"/>
      <c r="X31" s="1"/>
      <c r="Y31" s="1"/>
      <c r="Z31" s="1"/>
      <c r="AA31" s="1"/>
      <c r="AB31" s="1"/>
      <c r="AC31" s="1"/>
    </row>
    <row r="32" spans="2:29" ht="14.25" customHeight="1" x14ac:dyDescent="0.3">
      <c r="B32" s="108" t="s">
        <v>26</v>
      </c>
      <c r="C32" s="108">
        <v>3</v>
      </c>
      <c r="D32" s="133" t="s">
        <v>310</v>
      </c>
      <c r="E32" s="256" t="s">
        <v>154</v>
      </c>
      <c r="F32" s="206" t="s">
        <v>458</v>
      </c>
      <c r="G32" s="238">
        <v>3</v>
      </c>
      <c r="H32" s="109" t="s">
        <v>241</v>
      </c>
      <c r="I32" s="109"/>
      <c r="J32" s="83"/>
      <c r="K32" s="83"/>
      <c r="L32" s="60">
        <v>3</v>
      </c>
      <c r="M32" s="108"/>
      <c r="N32" s="108"/>
      <c r="O32" s="178"/>
      <c r="P32" s="50"/>
      <c r="Q32" s="50"/>
      <c r="R32" s="50"/>
      <c r="S32" s="50"/>
      <c r="T32" s="50"/>
      <c r="U32" s="50"/>
      <c r="V32" s="1"/>
      <c r="W32" s="1"/>
      <c r="X32" s="1"/>
      <c r="Y32" s="1"/>
      <c r="Z32" s="1"/>
      <c r="AA32" s="1"/>
      <c r="AB32" s="1"/>
      <c r="AC32" s="1"/>
    </row>
    <row r="33" spans="2:29" ht="14.25" customHeight="1" x14ac:dyDescent="0.3">
      <c r="B33" s="108" t="s">
        <v>26</v>
      </c>
      <c r="C33" s="108">
        <v>3</v>
      </c>
      <c r="D33" s="133" t="s">
        <v>311</v>
      </c>
      <c r="E33" s="226" t="s">
        <v>34</v>
      </c>
      <c r="F33" s="119" t="s">
        <v>390</v>
      </c>
      <c r="G33" s="238">
        <v>3</v>
      </c>
      <c r="H33" s="109"/>
      <c r="I33" s="109" t="s">
        <v>242</v>
      </c>
      <c r="J33" s="83"/>
      <c r="K33" s="108"/>
      <c r="L33" s="60">
        <v>3</v>
      </c>
      <c r="M33" s="108"/>
      <c r="N33" s="108"/>
      <c r="O33" s="178"/>
      <c r="P33" s="50"/>
      <c r="Q33" s="50"/>
      <c r="R33" s="50"/>
      <c r="S33" s="50"/>
      <c r="T33" s="50"/>
      <c r="U33" s="50"/>
      <c r="V33" s="1"/>
      <c r="W33" s="1"/>
      <c r="X33" s="1"/>
      <c r="Y33" s="1"/>
      <c r="Z33" s="1"/>
      <c r="AA33" s="1"/>
      <c r="AB33" s="1"/>
      <c r="AC33" s="1"/>
    </row>
    <row r="34" spans="2:29" ht="14.25" customHeight="1" x14ac:dyDescent="0.3">
      <c r="B34" s="108" t="s">
        <v>26</v>
      </c>
      <c r="C34" s="108">
        <v>3</v>
      </c>
      <c r="D34" s="255" t="s">
        <v>312</v>
      </c>
      <c r="E34" s="257" t="s">
        <v>261</v>
      </c>
      <c r="F34" s="245" t="s">
        <v>385</v>
      </c>
      <c r="G34" s="236">
        <v>3</v>
      </c>
      <c r="H34" s="112" t="s">
        <v>238</v>
      </c>
      <c r="I34" s="112"/>
      <c r="J34" s="115"/>
      <c r="K34" s="111"/>
      <c r="L34" s="111"/>
      <c r="M34" s="110">
        <v>3</v>
      </c>
      <c r="N34" s="111"/>
      <c r="O34" s="177"/>
      <c r="P34" s="50"/>
      <c r="Q34" s="155" t="s">
        <v>161</v>
      </c>
      <c r="R34" s="155"/>
      <c r="S34" s="50"/>
      <c r="T34" s="50"/>
      <c r="U34" s="50"/>
      <c r="V34" s="1"/>
      <c r="W34" s="1"/>
      <c r="X34" s="1"/>
      <c r="Y34" s="1"/>
      <c r="Z34" s="1"/>
      <c r="AA34" s="1"/>
      <c r="AB34" s="1"/>
      <c r="AC34" s="1"/>
    </row>
    <row r="35" spans="2:29" ht="14.25" customHeight="1" x14ac:dyDescent="0.3">
      <c r="B35" s="113" t="s">
        <v>48</v>
      </c>
      <c r="C35" s="113">
        <v>2</v>
      </c>
      <c r="D35" s="131" t="s">
        <v>314</v>
      </c>
      <c r="E35" s="228" t="s">
        <v>61</v>
      </c>
      <c r="F35" s="58" t="s">
        <v>395</v>
      </c>
      <c r="G35" s="235">
        <v>2</v>
      </c>
      <c r="H35" s="78" t="s">
        <v>243</v>
      </c>
      <c r="I35" s="78"/>
      <c r="J35" s="77"/>
      <c r="K35" s="75">
        <v>3</v>
      </c>
      <c r="L35" s="77"/>
      <c r="M35" s="77"/>
      <c r="N35" s="77"/>
      <c r="O35" s="175"/>
      <c r="P35" s="50"/>
      <c r="Q35" s="50"/>
      <c r="R35" s="50"/>
      <c r="S35" s="50"/>
      <c r="T35" s="50"/>
      <c r="U35" s="50"/>
      <c r="V35" s="1"/>
      <c r="W35" s="1"/>
      <c r="X35" s="1"/>
      <c r="Y35" s="1"/>
      <c r="Z35" s="1"/>
      <c r="AA35" s="1"/>
      <c r="AB35" s="1"/>
      <c r="AC35" s="1"/>
    </row>
    <row r="36" spans="2:29" ht="14.25" customHeight="1" x14ac:dyDescent="0.3">
      <c r="B36" s="113" t="s">
        <v>48</v>
      </c>
      <c r="C36" s="113">
        <v>3</v>
      </c>
      <c r="D36" s="267" t="s">
        <v>318</v>
      </c>
      <c r="E36" s="227" t="s">
        <v>46</v>
      </c>
      <c r="F36" s="116" t="s">
        <v>398</v>
      </c>
      <c r="G36" s="279">
        <v>3</v>
      </c>
      <c r="H36" s="55"/>
      <c r="I36" s="55"/>
      <c r="J36" s="53">
        <v>3</v>
      </c>
      <c r="K36" s="57"/>
      <c r="L36" s="57"/>
      <c r="M36" s="286"/>
      <c r="N36" s="286"/>
      <c r="O36" s="176"/>
      <c r="P36" s="50"/>
      <c r="U36" s="50"/>
      <c r="V36" s="1"/>
      <c r="W36" s="1"/>
      <c r="X36" s="1"/>
      <c r="Y36" s="1"/>
      <c r="Z36" s="1"/>
      <c r="AA36" s="1"/>
      <c r="AB36" s="1"/>
      <c r="AC36" s="1"/>
    </row>
    <row r="37" spans="2:29" ht="14.25" customHeight="1" x14ac:dyDescent="0.3">
      <c r="B37" s="113" t="s">
        <v>48</v>
      </c>
      <c r="C37" s="113">
        <v>3</v>
      </c>
      <c r="D37" s="266" t="s">
        <v>313</v>
      </c>
      <c r="E37" s="273" t="s">
        <v>59</v>
      </c>
      <c r="F37" s="207" t="s">
        <v>393</v>
      </c>
      <c r="G37" s="240">
        <v>3</v>
      </c>
      <c r="H37" s="78" t="s">
        <v>239</v>
      </c>
      <c r="I37" s="202"/>
      <c r="J37" s="81"/>
      <c r="K37" s="80">
        <v>3</v>
      </c>
      <c r="L37" s="81"/>
      <c r="M37" s="81"/>
      <c r="N37" s="81"/>
      <c r="O37" s="180"/>
      <c r="P37" s="50"/>
      <c r="Q37" s="50"/>
      <c r="R37" s="50"/>
      <c r="S37" s="50"/>
      <c r="T37" s="50"/>
      <c r="U37" s="50"/>
      <c r="V37" s="1"/>
      <c r="W37" s="1"/>
      <c r="X37" s="1"/>
      <c r="Y37" s="1"/>
      <c r="Z37" s="1"/>
      <c r="AA37" s="1"/>
      <c r="AB37" s="1"/>
      <c r="AC37" s="1"/>
    </row>
    <row r="38" spans="2:29" ht="14.25" customHeight="1" x14ac:dyDescent="0.3">
      <c r="B38" s="113" t="s">
        <v>48</v>
      </c>
      <c r="C38" s="113">
        <v>2</v>
      </c>
      <c r="D38" s="131" t="s">
        <v>464</v>
      </c>
      <c r="E38" s="228" t="s">
        <v>392</v>
      </c>
      <c r="F38" s="58" t="s">
        <v>146</v>
      </c>
      <c r="G38" s="235">
        <v>2</v>
      </c>
      <c r="H38" s="78"/>
      <c r="I38" s="78"/>
      <c r="J38" s="77"/>
      <c r="K38" s="75">
        <v>3</v>
      </c>
      <c r="L38" s="77"/>
      <c r="M38" s="77"/>
      <c r="N38" s="77"/>
      <c r="O38" s="175"/>
      <c r="P38" s="50"/>
      <c r="Q38" s="50"/>
      <c r="R38" s="50"/>
      <c r="S38" s="50"/>
      <c r="T38" s="50"/>
      <c r="U38" s="50"/>
      <c r="V38" s="1"/>
      <c r="W38" s="1"/>
      <c r="X38" s="1"/>
      <c r="Y38" s="1"/>
      <c r="Z38" s="1"/>
      <c r="AA38" s="1"/>
      <c r="AB38" s="1"/>
      <c r="AC38" s="1"/>
    </row>
    <row r="39" spans="2:29" ht="14.25" customHeight="1" x14ac:dyDescent="0.3">
      <c r="B39" s="113" t="s">
        <v>48</v>
      </c>
      <c r="C39" s="113">
        <v>3</v>
      </c>
      <c r="D39" s="131" t="s">
        <v>316</v>
      </c>
      <c r="E39" s="228" t="s">
        <v>58</v>
      </c>
      <c r="F39" s="228" t="s">
        <v>394</v>
      </c>
      <c r="G39" s="235">
        <v>3</v>
      </c>
      <c r="H39" s="78" t="s">
        <v>242</v>
      </c>
      <c r="I39" s="78"/>
      <c r="J39" s="77"/>
      <c r="K39" s="80">
        <v>3</v>
      </c>
      <c r="L39" s="77"/>
      <c r="M39" s="77"/>
      <c r="N39" s="77"/>
      <c r="O39" s="175"/>
      <c r="P39" s="50"/>
      <c r="Q39" s="50"/>
      <c r="R39" s="50"/>
      <c r="S39" s="50"/>
      <c r="T39" s="50"/>
      <c r="U39" s="50"/>
      <c r="V39" s="1"/>
      <c r="W39" s="1"/>
      <c r="X39" s="1"/>
      <c r="Y39" s="1"/>
      <c r="Z39" s="1"/>
      <c r="AA39" s="1"/>
      <c r="AB39" s="1"/>
      <c r="AC39" s="1"/>
    </row>
    <row r="40" spans="2:29" ht="14.25" customHeight="1" x14ac:dyDescent="0.3">
      <c r="B40" s="113" t="s">
        <v>48</v>
      </c>
      <c r="C40" s="113">
        <v>3</v>
      </c>
      <c r="D40" s="131" t="s">
        <v>317</v>
      </c>
      <c r="E40" s="229" t="s">
        <v>396</v>
      </c>
      <c r="F40" s="277" t="s">
        <v>49</v>
      </c>
      <c r="G40" s="235">
        <v>3</v>
      </c>
      <c r="H40" s="78" t="s">
        <v>254</v>
      </c>
      <c r="I40" s="78"/>
      <c r="J40" s="77"/>
      <c r="K40" s="262">
        <v>2</v>
      </c>
      <c r="L40" s="77"/>
      <c r="M40" s="77"/>
      <c r="N40" s="77"/>
      <c r="O40" s="175"/>
      <c r="P40" s="50"/>
      <c r="Q40" s="50"/>
      <c r="R40" s="50"/>
      <c r="S40" s="50"/>
      <c r="T40" s="50"/>
      <c r="U40" s="50"/>
      <c r="V40" s="1"/>
      <c r="W40" s="1"/>
      <c r="X40" s="1"/>
      <c r="Y40" s="1"/>
      <c r="Z40" s="1"/>
      <c r="AA40" s="1"/>
      <c r="AB40" s="1"/>
      <c r="AC40" s="1"/>
    </row>
    <row r="41" spans="2:29" ht="14.25" customHeight="1" x14ac:dyDescent="0.3">
      <c r="B41" s="113" t="s">
        <v>48</v>
      </c>
      <c r="C41" s="113">
        <v>3</v>
      </c>
      <c r="D41" s="157" t="s">
        <v>315</v>
      </c>
      <c r="E41" s="226" t="s">
        <v>35</v>
      </c>
      <c r="F41" s="119" t="s">
        <v>397</v>
      </c>
      <c r="G41" s="238">
        <v>3</v>
      </c>
      <c r="H41" s="109"/>
      <c r="I41" s="109" t="s">
        <v>237</v>
      </c>
      <c r="J41" s="108"/>
      <c r="K41" s="120"/>
      <c r="L41" s="60">
        <v>3</v>
      </c>
      <c r="M41" s="108"/>
      <c r="N41" s="108"/>
      <c r="O41" s="178"/>
      <c r="P41" s="50"/>
      <c r="Q41" s="155" t="s">
        <v>160</v>
      </c>
      <c r="R41" s="37"/>
      <c r="W41" s="1"/>
      <c r="X41" s="1"/>
      <c r="Y41" s="1"/>
      <c r="Z41" s="1"/>
      <c r="AA41" s="1"/>
      <c r="AB41" s="1"/>
      <c r="AC41" s="1"/>
    </row>
    <row r="42" spans="2:29" ht="14.25" customHeight="1" x14ac:dyDescent="0.3">
      <c r="B42" s="134" t="s">
        <v>45</v>
      </c>
      <c r="C42" s="134">
        <v>2</v>
      </c>
      <c r="D42" s="133" t="s">
        <v>330</v>
      </c>
      <c r="E42" s="230" t="s">
        <v>150</v>
      </c>
      <c r="F42" s="65" t="s">
        <v>402</v>
      </c>
      <c r="G42" s="133">
        <v>2</v>
      </c>
      <c r="H42" s="109"/>
      <c r="I42" s="109" t="s">
        <v>241</v>
      </c>
      <c r="J42" s="83"/>
      <c r="K42" s="120"/>
      <c r="L42" s="64">
        <v>2</v>
      </c>
      <c r="M42" s="108"/>
      <c r="N42" s="108"/>
      <c r="O42" s="178"/>
      <c r="P42" s="50"/>
      <c r="Q42" s="50"/>
      <c r="R42" s="50"/>
      <c r="S42" s="50"/>
      <c r="T42" s="50"/>
      <c r="U42" s="50"/>
      <c r="V42" s="1"/>
      <c r="W42" s="1"/>
      <c r="X42" s="1"/>
      <c r="Y42" s="1"/>
      <c r="Z42" s="1"/>
      <c r="AA42" s="1"/>
      <c r="AB42" s="1"/>
      <c r="AC42" s="1"/>
    </row>
    <row r="43" spans="2:29" ht="14.25" customHeight="1" x14ac:dyDescent="0.3">
      <c r="B43" s="134" t="s">
        <v>45</v>
      </c>
      <c r="C43" s="134">
        <v>2</v>
      </c>
      <c r="D43" s="263" t="s">
        <v>332</v>
      </c>
      <c r="E43" s="270" t="s">
        <v>144</v>
      </c>
      <c r="F43" s="270" t="s">
        <v>403</v>
      </c>
      <c r="G43" s="278">
        <v>2</v>
      </c>
      <c r="H43" s="108"/>
      <c r="I43" s="281" t="s">
        <v>246</v>
      </c>
      <c r="J43" s="120"/>
      <c r="K43" s="120"/>
      <c r="L43" s="208">
        <v>2</v>
      </c>
      <c r="M43" s="120"/>
      <c r="N43" s="120"/>
      <c r="O43" s="181"/>
      <c r="P43" s="50"/>
      <c r="T43" s="50"/>
      <c r="U43" s="50"/>
      <c r="X43" s="1"/>
      <c r="Y43" s="1"/>
      <c r="Z43" s="1"/>
      <c r="AA43" s="1"/>
      <c r="AB43" s="1"/>
      <c r="AC43" s="1"/>
    </row>
    <row r="44" spans="2:29" ht="14.25" customHeight="1" x14ac:dyDescent="0.3">
      <c r="B44" s="134" t="s">
        <v>45</v>
      </c>
      <c r="C44" s="134">
        <v>2</v>
      </c>
      <c r="D44" s="264" t="s">
        <v>319</v>
      </c>
      <c r="E44" s="271" t="s">
        <v>460</v>
      </c>
      <c r="F44" s="271" t="s">
        <v>430</v>
      </c>
      <c r="G44" s="241">
        <v>2</v>
      </c>
      <c r="H44" s="85"/>
      <c r="I44" s="85"/>
      <c r="J44" s="85"/>
      <c r="K44" s="85"/>
      <c r="L44" s="85"/>
      <c r="M44" s="85"/>
      <c r="N44" s="85"/>
      <c r="O44" s="182"/>
      <c r="P44" s="50"/>
      <c r="T44" s="50"/>
      <c r="U44" s="50"/>
      <c r="X44" s="1"/>
      <c r="Y44" s="1"/>
      <c r="Z44" s="1"/>
      <c r="AA44" s="1"/>
      <c r="AB44" s="1"/>
      <c r="AC44" s="1"/>
    </row>
    <row r="45" spans="2:29" ht="14.25" customHeight="1" x14ac:dyDescent="0.3">
      <c r="B45" s="134" t="s">
        <v>45</v>
      </c>
      <c r="C45" s="134">
        <v>2</v>
      </c>
      <c r="D45" s="138" t="s">
        <v>319</v>
      </c>
      <c r="E45" s="271" t="s">
        <v>461</v>
      </c>
      <c r="F45" s="84" t="s">
        <v>431</v>
      </c>
      <c r="G45" s="241">
        <v>2</v>
      </c>
      <c r="H45" s="85"/>
      <c r="I45" s="85"/>
      <c r="J45" s="84"/>
      <c r="K45" s="85"/>
      <c r="L45" s="85"/>
      <c r="M45" s="85"/>
      <c r="N45" s="85"/>
      <c r="O45" s="182"/>
      <c r="P45" s="50"/>
      <c r="T45" s="50"/>
      <c r="U45" s="50"/>
      <c r="X45" s="1"/>
      <c r="Y45" s="1"/>
      <c r="Z45" s="1"/>
      <c r="AA45" s="1"/>
      <c r="AB45" s="1"/>
      <c r="AC45" s="1"/>
    </row>
    <row r="46" spans="2:29" ht="14.25" customHeight="1" x14ac:dyDescent="0.3">
      <c r="B46" s="134" t="s">
        <v>45</v>
      </c>
      <c r="C46" s="134">
        <v>3</v>
      </c>
      <c r="D46" s="131" t="s">
        <v>320</v>
      </c>
      <c r="E46" s="228" t="s">
        <v>52</v>
      </c>
      <c r="F46" s="58" t="s">
        <v>459</v>
      </c>
      <c r="G46" s="235">
        <v>3</v>
      </c>
      <c r="H46" s="78" t="s">
        <v>236</v>
      </c>
      <c r="I46" s="78"/>
      <c r="J46" s="76"/>
      <c r="K46" s="80">
        <v>3</v>
      </c>
      <c r="L46" s="77"/>
      <c r="M46" s="81"/>
      <c r="N46" s="81"/>
      <c r="O46" s="175"/>
      <c r="P46" s="50"/>
      <c r="T46" s="50"/>
      <c r="U46" s="50"/>
      <c r="V46" s="1"/>
      <c r="W46" s="1"/>
      <c r="X46" s="1"/>
      <c r="Y46" s="1"/>
      <c r="Z46" s="1"/>
      <c r="AA46" s="1"/>
      <c r="AB46" s="1"/>
      <c r="AC46" s="1"/>
    </row>
    <row r="47" spans="2:29" ht="14.25" customHeight="1" x14ac:dyDescent="0.3">
      <c r="B47" s="134" t="s">
        <v>45</v>
      </c>
      <c r="C47" s="134">
        <v>3</v>
      </c>
      <c r="D47" s="131" t="s">
        <v>321</v>
      </c>
      <c r="E47" s="228" t="s">
        <v>60</v>
      </c>
      <c r="F47" s="58" t="s">
        <v>401</v>
      </c>
      <c r="G47" s="235">
        <v>3</v>
      </c>
      <c r="H47" s="78"/>
      <c r="I47" s="78" t="s">
        <v>245</v>
      </c>
      <c r="J47" s="77"/>
      <c r="K47" s="81"/>
      <c r="L47" s="80">
        <v>3</v>
      </c>
      <c r="M47" s="81"/>
      <c r="N47" s="81"/>
      <c r="O47" s="175"/>
      <c r="P47" s="50"/>
      <c r="T47" s="50"/>
      <c r="U47" s="50"/>
      <c r="V47" s="1"/>
      <c r="W47" s="1"/>
      <c r="X47" s="1"/>
      <c r="Y47" s="1"/>
      <c r="Z47" s="1"/>
      <c r="AA47" s="1"/>
      <c r="AB47" s="1"/>
      <c r="AC47" s="1"/>
    </row>
    <row r="48" spans="2:29" ht="14.25" customHeight="1" x14ac:dyDescent="0.3">
      <c r="B48" s="134" t="s">
        <v>45</v>
      </c>
      <c r="C48" s="134">
        <v>3</v>
      </c>
      <c r="D48" s="157" t="s">
        <v>331</v>
      </c>
      <c r="E48" s="256" t="s">
        <v>400</v>
      </c>
      <c r="F48" s="206" t="s">
        <v>153</v>
      </c>
      <c r="G48" s="238">
        <v>3</v>
      </c>
      <c r="H48" s="109"/>
      <c r="I48" s="109" t="s">
        <v>244</v>
      </c>
      <c r="J48" s="108"/>
      <c r="K48" s="108"/>
      <c r="L48" s="285">
        <v>3</v>
      </c>
      <c r="M48" s="120"/>
      <c r="N48" s="120"/>
      <c r="O48" s="178"/>
      <c r="P48" s="50"/>
      <c r="T48" s="50"/>
      <c r="U48" s="50"/>
      <c r="V48" s="1"/>
      <c r="W48" s="1"/>
      <c r="X48" s="1"/>
      <c r="Y48" s="1"/>
      <c r="Z48" s="1"/>
      <c r="AA48" s="1"/>
      <c r="AB48" s="1"/>
      <c r="AC48" s="1"/>
    </row>
    <row r="49" spans="2:29" ht="14.25" customHeight="1" x14ac:dyDescent="0.3">
      <c r="B49" s="134" t="s">
        <v>45</v>
      </c>
      <c r="C49" s="134">
        <v>3</v>
      </c>
      <c r="D49" s="254" t="s">
        <v>329</v>
      </c>
      <c r="E49" s="258" t="s">
        <v>399</v>
      </c>
      <c r="F49" s="259" t="s">
        <v>158</v>
      </c>
      <c r="G49" s="260">
        <v>2</v>
      </c>
      <c r="H49" s="121" t="s">
        <v>246</v>
      </c>
      <c r="I49" s="198" t="s">
        <v>236</v>
      </c>
      <c r="J49" s="261"/>
      <c r="K49" s="261"/>
      <c r="L49" s="261"/>
      <c r="M49" s="124"/>
      <c r="N49" s="124"/>
      <c r="O49" s="185">
        <v>3</v>
      </c>
      <c r="P49" s="50"/>
      <c r="T49" s="50"/>
      <c r="U49" s="50"/>
      <c r="V49" s="1"/>
      <c r="W49" s="1"/>
      <c r="X49" s="1"/>
      <c r="Y49" s="1"/>
      <c r="Z49" s="1"/>
      <c r="AA49" s="1"/>
      <c r="AB49" s="1"/>
      <c r="AC49" s="1"/>
    </row>
    <row r="50" spans="2:29" ht="14.25" customHeight="1" x14ac:dyDescent="0.3">
      <c r="B50" s="108" t="s">
        <v>66</v>
      </c>
      <c r="C50" s="108">
        <v>2</v>
      </c>
      <c r="D50" s="216" t="s">
        <v>322</v>
      </c>
      <c r="E50" s="271" t="s">
        <v>462</v>
      </c>
      <c r="F50" s="84" t="s">
        <v>432</v>
      </c>
      <c r="G50" s="241">
        <v>2</v>
      </c>
      <c r="H50" s="85"/>
      <c r="I50" s="85"/>
      <c r="J50" s="85"/>
      <c r="K50" s="85"/>
      <c r="L50" s="85"/>
      <c r="M50" s="148"/>
      <c r="N50" s="148"/>
      <c r="O50" s="182"/>
      <c r="P50" s="50"/>
      <c r="T50" s="50"/>
      <c r="U50" s="50"/>
      <c r="V50" s="1"/>
      <c r="W50" s="1"/>
      <c r="X50" s="1"/>
      <c r="Y50" s="1"/>
      <c r="Z50" s="1"/>
      <c r="AA50" s="1"/>
      <c r="AB50" s="1"/>
      <c r="AC50" s="1"/>
    </row>
    <row r="51" spans="2:29" ht="14.25" customHeight="1" x14ac:dyDescent="0.3">
      <c r="B51" s="108" t="s">
        <v>66</v>
      </c>
      <c r="C51" s="108">
        <v>2</v>
      </c>
      <c r="D51" s="268" t="s">
        <v>322</v>
      </c>
      <c r="E51" s="271" t="s">
        <v>463</v>
      </c>
      <c r="F51" s="84" t="s">
        <v>433</v>
      </c>
      <c r="G51" s="241">
        <v>2</v>
      </c>
      <c r="H51" s="85"/>
      <c r="I51" s="85"/>
      <c r="J51" s="84"/>
      <c r="K51" s="85"/>
      <c r="L51" s="85"/>
      <c r="M51" s="85"/>
      <c r="N51" s="85"/>
      <c r="O51" s="182"/>
      <c r="P51" s="50"/>
      <c r="T51" s="50"/>
      <c r="U51" s="50"/>
      <c r="V51" s="1"/>
      <c r="W51" s="1"/>
      <c r="X51" s="1"/>
      <c r="Y51" s="1"/>
      <c r="Z51" s="1"/>
      <c r="AA51" s="1"/>
      <c r="AB51" s="1"/>
      <c r="AC51" s="1"/>
    </row>
    <row r="52" spans="2:29" ht="14.4" x14ac:dyDescent="0.3">
      <c r="B52" s="108" t="s">
        <v>66</v>
      </c>
      <c r="C52" s="108">
        <v>2</v>
      </c>
      <c r="D52" s="269" t="s">
        <v>324</v>
      </c>
      <c r="E52" s="275" t="s">
        <v>219</v>
      </c>
      <c r="F52" s="147" t="s">
        <v>409</v>
      </c>
      <c r="G52" s="280">
        <v>2</v>
      </c>
      <c r="H52" s="147" t="s">
        <v>235</v>
      </c>
      <c r="I52" s="283"/>
      <c r="J52" s="283"/>
      <c r="K52" s="283"/>
      <c r="L52" s="283"/>
      <c r="M52" s="283"/>
      <c r="N52" s="283">
        <v>2</v>
      </c>
      <c r="O52" s="287"/>
      <c r="P52" s="50"/>
      <c r="T52" s="50"/>
      <c r="U52" s="50"/>
      <c r="V52" s="1"/>
      <c r="W52" s="1"/>
      <c r="X52" s="1"/>
      <c r="Y52" s="1"/>
      <c r="Z52" s="1"/>
      <c r="AA52" s="1"/>
      <c r="AB52" s="1"/>
      <c r="AC52" s="1"/>
    </row>
    <row r="53" spans="2:29" ht="14.4" x14ac:dyDescent="0.3">
      <c r="B53" s="108" t="s">
        <v>66</v>
      </c>
      <c r="C53" s="108">
        <v>3</v>
      </c>
      <c r="D53" s="254" t="s">
        <v>474</v>
      </c>
      <c r="E53" s="274" t="s">
        <v>13</v>
      </c>
      <c r="F53" s="246" t="s">
        <v>405</v>
      </c>
      <c r="G53" s="243">
        <v>3</v>
      </c>
      <c r="H53" s="201"/>
      <c r="I53" s="201"/>
      <c r="J53" s="123"/>
      <c r="K53" s="123"/>
      <c r="L53" s="122"/>
      <c r="M53" s="123"/>
      <c r="N53" s="123"/>
      <c r="O53" s="184">
        <v>2</v>
      </c>
      <c r="P53" s="50"/>
      <c r="T53" s="50"/>
      <c r="U53" s="50"/>
      <c r="V53" s="1"/>
      <c r="W53" s="1"/>
      <c r="X53" s="1"/>
      <c r="Y53" s="1"/>
      <c r="Z53" s="1"/>
      <c r="AA53" s="1"/>
      <c r="AB53" s="1"/>
      <c r="AC53" s="1"/>
    </row>
    <row r="54" spans="2:29" ht="14.25" customHeight="1" x14ac:dyDescent="0.3">
      <c r="B54" s="108" t="s">
        <v>66</v>
      </c>
      <c r="C54" s="108">
        <v>2</v>
      </c>
      <c r="D54" s="254" t="s">
        <v>325</v>
      </c>
      <c r="E54" s="276" t="s">
        <v>152</v>
      </c>
      <c r="F54" s="247" t="s">
        <v>406</v>
      </c>
      <c r="G54" s="260">
        <v>2</v>
      </c>
      <c r="H54" s="198" t="s">
        <v>237</v>
      </c>
      <c r="I54" s="198"/>
      <c r="J54" s="261"/>
      <c r="K54" s="261"/>
      <c r="L54" s="261"/>
      <c r="M54" s="261"/>
      <c r="N54" s="261"/>
      <c r="O54" s="179">
        <v>2</v>
      </c>
      <c r="P54" s="50"/>
      <c r="T54" s="50"/>
      <c r="U54" s="50"/>
      <c r="V54" s="1"/>
      <c r="W54" s="1"/>
      <c r="X54" s="1"/>
      <c r="Y54" s="1"/>
      <c r="Z54" s="1"/>
      <c r="AA54" s="1"/>
      <c r="AB54" s="1"/>
      <c r="AC54" s="1"/>
    </row>
    <row r="55" spans="2:29" ht="14.25" customHeight="1" x14ac:dyDescent="0.3">
      <c r="B55" s="108" t="s">
        <v>66</v>
      </c>
      <c r="C55" s="108">
        <v>2</v>
      </c>
      <c r="D55" s="139" t="s">
        <v>326</v>
      </c>
      <c r="E55" s="231" t="s">
        <v>68</v>
      </c>
      <c r="F55" s="140" t="s">
        <v>407</v>
      </c>
      <c r="G55" s="242">
        <v>2</v>
      </c>
      <c r="H55" s="197" t="s">
        <v>256</v>
      </c>
      <c r="I55" s="197"/>
      <c r="J55" s="136"/>
      <c r="K55" s="136"/>
      <c r="L55" s="136"/>
      <c r="M55" s="136"/>
      <c r="N55" s="136"/>
      <c r="O55" s="183">
        <v>2</v>
      </c>
      <c r="P55" s="50"/>
      <c r="T55" s="50"/>
      <c r="U55" s="50"/>
      <c r="V55" s="1"/>
      <c r="W55" s="1"/>
      <c r="X55" s="1"/>
      <c r="Y55" s="1"/>
      <c r="Z55" s="1"/>
      <c r="AA55" s="1"/>
      <c r="AB55" s="1"/>
      <c r="AC55" s="1"/>
    </row>
    <row r="56" spans="2:29" ht="14.25" customHeight="1" x14ac:dyDescent="0.3">
      <c r="B56" s="108" t="s">
        <v>66</v>
      </c>
      <c r="C56" s="108">
        <v>3</v>
      </c>
      <c r="D56" s="137" t="s">
        <v>323</v>
      </c>
      <c r="E56" s="232" t="s">
        <v>408</v>
      </c>
      <c r="F56" s="92" t="s">
        <v>74</v>
      </c>
      <c r="G56" s="244">
        <v>3</v>
      </c>
      <c r="H56" s="114" t="s">
        <v>262</v>
      </c>
      <c r="I56" s="114"/>
      <c r="J56" s="113"/>
      <c r="K56" s="113"/>
      <c r="L56" s="113"/>
      <c r="M56" s="113"/>
      <c r="N56" s="93">
        <v>3</v>
      </c>
      <c r="O56" s="186"/>
      <c r="P56" s="50"/>
      <c r="T56" s="50"/>
      <c r="U56" s="50"/>
      <c r="V56" s="1"/>
      <c r="W56" s="1"/>
      <c r="X56" s="1"/>
      <c r="Y56" s="1"/>
      <c r="Z56" s="1"/>
      <c r="AA56" s="1"/>
      <c r="AB56" s="1"/>
      <c r="AC56" s="1"/>
    </row>
    <row r="57" spans="2:29" ht="14.25" customHeight="1" x14ac:dyDescent="0.3">
      <c r="B57" s="108" t="s">
        <v>66</v>
      </c>
      <c r="C57" s="108">
        <v>3</v>
      </c>
      <c r="D57" s="139" t="s">
        <v>327</v>
      </c>
      <c r="E57" s="231" t="s">
        <v>56</v>
      </c>
      <c r="F57" s="140" t="s">
        <v>404</v>
      </c>
      <c r="G57" s="242">
        <v>3</v>
      </c>
      <c r="H57" s="197" t="s">
        <v>256</v>
      </c>
      <c r="I57" s="197"/>
      <c r="J57" s="141"/>
      <c r="K57" s="141"/>
      <c r="L57" s="136"/>
      <c r="M57" s="136"/>
      <c r="N57" s="136"/>
      <c r="O57" s="183">
        <v>3</v>
      </c>
      <c r="P57" s="50"/>
      <c r="T57" s="50"/>
      <c r="U57" s="50"/>
      <c r="V57" s="1"/>
      <c r="W57" s="1"/>
      <c r="X57" s="1"/>
      <c r="Y57" s="1"/>
      <c r="Z57" s="1"/>
      <c r="AA57" s="1"/>
      <c r="AB57" s="1"/>
      <c r="AC57" s="1"/>
    </row>
    <row r="58" spans="2:29" ht="14.4" x14ac:dyDescent="0.3">
      <c r="B58" s="113" t="s">
        <v>64</v>
      </c>
      <c r="C58" s="113">
        <v>2</v>
      </c>
      <c r="D58" s="146" t="s">
        <v>473</v>
      </c>
      <c r="E58" s="233" t="s">
        <v>471</v>
      </c>
      <c r="F58" s="147" t="s">
        <v>472</v>
      </c>
      <c r="G58" s="244">
        <v>2</v>
      </c>
      <c r="H58" s="114" t="s">
        <v>242</v>
      </c>
      <c r="I58" s="147"/>
      <c r="J58" s="113"/>
      <c r="K58" s="113"/>
      <c r="L58" s="113"/>
      <c r="M58" s="113"/>
      <c r="N58" s="93">
        <v>2</v>
      </c>
      <c r="O58" s="187"/>
      <c r="P58" s="50"/>
      <c r="T58" s="50"/>
      <c r="U58" s="50"/>
      <c r="V58" s="1"/>
      <c r="W58" s="1"/>
      <c r="X58" s="1"/>
      <c r="Y58" s="1"/>
      <c r="Z58" s="1"/>
      <c r="AA58" s="1"/>
      <c r="AB58" s="1"/>
      <c r="AC58" s="1"/>
    </row>
    <row r="59" spans="2:29" ht="14.25" customHeight="1" x14ac:dyDescent="0.3">
      <c r="B59" s="113" t="s">
        <v>64</v>
      </c>
      <c r="C59" s="113">
        <v>6</v>
      </c>
      <c r="D59" s="146" t="s">
        <v>328</v>
      </c>
      <c r="E59" s="117" t="s">
        <v>155</v>
      </c>
      <c r="F59" s="117" t="s">
        <v>410</v>
      </c>
      <c r="G59" s="118">
        <v>6</v>
      </c>
      <c r="H59" s="114"/>
      <c r="I59" s="114"/>
      <c r="J59" s="113"/>
      <c r="K59" s="113"/>
      <c r="L59" s="113"/>
      <c r="M59" s="113"/>
      <c r="N59" s="113">
        <v>6</v>
      </c>
      <c r="O59" s="186"/>
      <c r="P59" s="50"/>
      <c r="T59" s="50"/>
      <c r="U59" s="50"/>
      <c r="V59" s="1"/>
      <c r="W59" s="1"/>
      <c r="X59" s="1"/>
      <c r="Y59" s="1"/>
      <c r="Z59" s="1"/>
      <c r="AA59" s="1"/>
      <c r="AB59" s="1"/>
      <c r="AC59" s="1"/>
    </row>
    <row r="60" spans="2:29" ht="14.25" customHeight="1" x14ac:dyDescent="0.3">
      <c r="B60" s="51"/>
      <c r="C60" s="51"/>
      <c r="D60" s="51"/>
      <c r="E60" s="51"/>
      <c r="F60" s="51"/>
      <c r="G60" s="51"/>
      <c r="H60" s="51"/>
      <c r="I60" s="51"/>
      <c r="J60" s="51"/>
      <c r="K60" s="51"/>
      <c r="L60" s="51"/>
      <c r="M60" s="51"/>
      <c r="N60" s="51"/>
      <c r="O60" s="51"/>
      <c r="P60" s="50"/>
      <c r="Q60" s="50"/>
      <c r="R60" s="50"/>
      <c r="S60" s="50"/>
      <c r="T60" s="50"/>
      <c r="U60" s="50"/>
      <c r="V60" s="1"/>
      <c r="W60" s="1"/>
      <c r="X60" s="1"/>
      <c r="Y60" s="1"/>
      <c r="Z60" s="1"/>
      <c r="AA60" s="1"/>
      <c r="AB60" s="1"/>
      <c r="AC60" s="1"/>
    </row>
    <row r="61" spans="2:29" ht="14.25" customHeight="1" x14ac:dyDescent="0.3">
      <c r="B61" s="218"/>
      <c r="C61" s="108">
        <v>3</v>
      </c>
      <c r="D61" s="86" t="s">
        <v>435</v>
      </c>
      <c r="E61" s="86" t="s">
        <v>437</v>
      </c>
      <c r="F61" s="83" t="s">
        <v>438</v>
      </c>
      <c r="G61" s="83" t="s">
        <v>1</v>
      </c>
      <c r="H61" s="50"/>
      <c r="I61" s="50"/>
      <c r="J61" s="189" t="s">
        <v>233</v>
      </c>
      <c r="K61" s="189" t="s">
        <v>234</v>
      </c>
      <c r="L61" s="189"/>
      <c r="M61" s="189" t="s">
        <v>247</v>
      </c>
      <c r="N61" s="189" t="s">
        <v>248</v>
      </c>
      <c r="O61" s="189" t="s">
        <v>250</v>
      </c>
      <c r="P61" s="50"/>
      <c r="Q61" s="50"/>
      <c r="R61" s="50"/>
      <c r="S61" s="50"/>
      <c r="T61" s="50"/>
      <c r="U61" s="50"/>
      <c r="V61" s="1"/>
      <c r="W61" s="1"/>
      <c r="X61" s="1"/>
      <c r="Y61" s="1"/>
      <c r="Z61" s="1"/>
      <c r="AA61" s="1"/>
      <c r="AB61" s="1"/>
      <c r="AC61" s="1"/>
    </row>
    <row r="62" spans="2:29" ht="14.25" customHeight="1" x14ac:dyDescent="0.3">
      <c r="B62" s="149" t="s">
        <v>45</v>
      </c>
      <c r="C62" s="142">
        <v>2</v>
      </c>
      <c r="D62" s="64" t="s">
        <v>333</v>
      </c>
      <c r="E62" s="65" t="s">
        <v>141</v>
      </c>
      <c r="F62" s="65" t="s">
        <v>418</v>
      </c>
      <c r="G62" s="64">
        <v>2</v>
      </c>
      <c r="H62" s="50"/>
      <c r="I62" s="50" t="s">
        <v>238</v>
      </c>
      <c r="J62" s="190">
        <v>1</v>
      </c>
      <c r="K62" s="191" t="s">
        <v>235</v>
      </c>
      <c r="L62" s="191"/>
      <c r="M62" s="200">
        <f t="shared" ref="M62:M73" si="0">COUNTIF($H$6:$H$88,K62)</f>
        <v>2</v>
      </c>
      <c r="N62" s="200">
        <f t="shared" ref="N62:N73" si="1">COUNTIF($I$6:$I$88,K62)</f>
        <v>3</v>
      </c>
      <c r="O62" s="200">
        <f>M62+N62</f>
        <v>5</v>
      </c>
      <c r="P62" s="50"/>
      <c r="Q62" s="50"/>
      <c r="R62" s="50"/>
      <c r="S62" s="50"/>
      <c r="T62" s="50"/>
      <c r="U62" s="50"/>
      <c r="V62" s="1"/>
      <c r="W62" s="1"/>
      <c r="X62" s="1"/>
      <c r="Y62" s="1"/>
      <c r="Z62" s="1"/>
      <c r="AA62" s="1"/>
      <c r="AB62" s="1"/>
      <c r="AC62" s="1"/>
    </row>
    <row r="63" spans="2:29" ht="14.25" customHeight="1" x14ac:dyDescent="0.3">
      <c r="B63" s="149" t="s">
        <v>45</v>
      </c>
      <c r="C63" s="142">
        <v>2</v>
      </c>
      <c r="D63" s="61" t="s">
        <v>334</v>
      </c>
      <c r="E63" s="62" t="s">
        <v>416</v>
      </c>
      <c r="F63" s="62" t="s">
        <v>140</v>
      </c>
      <c r="G63" s="63">
        <v>2</v>
      </c>
      <c r="H63" s="50"/>
      <c r="I63" s="50" t="s">
        <v>237</v>
      </c>
      <c r="J63" s="192">
        <v>2</v>
      </c>
      <c r="K63" s="193" t="s">
        <v>236</v>
      </c>
      <c r="L63" s="191"/>
      <c r="M63" s="200">
        <f t="shared" si="0"/>
        <v>1</v>
      </c>
      <c r="N63" s="200">
        <f t="shared" si="1"/>
        <v>2</v>
      </c>
      <c r="O63" s="200">
        <f t="shared" ref="O63:O74" si="2">M63+N63</f>
        <v>3</v>
      </c>
      <c r="P63" s="50"/>
      <c r="Q63" s="50"/>
      <c r="R63" s="50"/>
      <c r="S63" s="50"/>
      <c r="T63" s="50"/>
      <c r="U63" s="50"/>
      <c r="V63" s="1"/>
      <c r="W63" s="1"/>
      <c r="X63" s="1"/>
      <c r="Y63" s="1"/>
      <c r="Z63" s="1"/>
      <c r="AA63" s="1"/>
      <c r="AB63" s="1"/>
      <c r="AC63" s="1"/>
    </row>
    <row r="64" spans="2:29" ht="14.25" customHeight="1" x14ac:dyDescent="0.3">
      <c r="B64" s="149" t="s">
        <v>66</v>
      </c>
      <c r="C64" s="142">
        <v>2</v>
      </c>
      <c r="D64" s="64" t="s">
        <v>335</v>
      </c>
      <c r="E64" s="66" t="s">
        <v>417</v>
      </c>
      <c r="F64" s="66" t="s">
        <v>142</v>
      </c>
      <c r="G64" s="64">
        <v>2</v>
      </c>
      <c r="H64" s="50" t="s">
        <v>237</v>
      </c>
      <c r="I64" s="50"/>
      <c r="J64" s="190">
        <v>3</v>
      </c>
      <c r="K64" s="193" t="s">
        <v>237</v>
      </c>
      <c r="L64" s="191"/>
      <c r="M64" s="200">
        <f t="shared" si="0"/>
        <v>3</v>
      </c>
      <c r="N64" s="200">
        <f t="shared" si="1"/>
        <v>2</v>
      </c>
      <c r="O64" s="200">
        <f t="shared" si="2"/>
        <v>5</v>
      </c>
      <c r="P64" s="50"/>
      <c r="Q64" s="50"/>
      <c r="R64" s="50"/>
      <c r="S64" s="50"/>
      <c r="T64" s="50"/>
      <c r="U64" s="50"/>
      <c r="V64" s="1"/>
      <c r="W64" s="1"/>
      <c r="X64" s="1"/>
      <c r="Y64" s="1"/>
      <c r="Z64" s="1"/>
      <c r="AA64" s="1"/>
      <c r="AB64" s="1"/>
      <c r="AC64" s="1"/>
    </row>
    <row r="65" spans="2:29" ht="14.25" customHeight="1" x14ac:dyDescent="0.3">
      <c r="B65" s="149" t="s">
        <v>66</v>
      </c>
      <c r="C65" s="142">
        <v>2</v>
      </c>
      <c r="D65" s="61" t="s">
        <v>336</v>
      </c>
      <c r="E65" s="206" t="s">
        <v>419</v>
      </c>
      <c r="F65" s="206" t="s">
        <v>65</v>
      </c>
      <c r="G65" s="60">
        <v>2</v>
      </c>
      <c r="H65" s="50" t="s">
        <v>237</v>
      </c>
      <c r="I65" s="50"/>
      <c r="J65" s="190">
        <v>4</v>
      </c>
      <c r="K65" s="194" t="s">
        <v>238</v>
      </c>
      <c r="L65" s="191"/>
      <c r="M65" s="200">
        <f t="shared" si="0"/>
        <v>2</v>
      </c>
      <c r="N65" s="200">
        <f t="shared" si="1"/>
        <v>1</v>
      </c>
      <c r="O65" s="200">
        <f t="shared" si="2"/>
        <v>3</v>
      </c>
      <c r="P65" s="50"/>
      <c r="Q65" s="50"/>
      <c r="R65" s="50"/>
      <c r="S65" s="50"/>
      <c r="T65" s="50"/>
      <c r="U65" s="50"/>
      <c r="V65" s="1"/>
      <c r="W65" s="1"/>
      <c r="X65" s="1"/>
      <c r="Y65" s="1"/>
      <c r="Z65" s="1"/>
      <c r="AA65" s="1"/>
      <c r="AB65" s="1"/>
      <c r="AC65" s="1"/>
    </row>
    <row r="66" spans="2:29" ht="14.25" customHeight="1" x14ac:dyDescent="0.3">
      <c r="B66" s="149" t="s">
        <v>45</v>
      </c>
      <c r="C66" s="142">
        <v>2</v>
      </c>
      <c r="D66" s="64" t="s">
        <v>337</v>
      </c>
      <c r="E66" s="65" t="s">
        <v>143</v>
      </c>
      <c r="F66" s="65" t="s">
        <v>420</v>
      </c>
      <c r="G66" s="64">
        <v>2</v>
      </c>
      <c r="H66" s="50"/>
      <c r="I66" s="50"/>
      <c r="J66" s="192">
        <v>5</v>
      </c>
      <c r="K66" s="199" t="s">
        <v>239</v>
      </c>
      <c r="L66" s="191"/>
      <c r="M66" s="200">
        <f t="shared" si="0"/>
        <v>3</v>
      </c>
      <c r="N66" s="200">
        <f t="shared" si="1"/>
        <v>1</v>
      </c>
      <c r="O66" s="200">
        <f t="shared" si="2"/>
        <v>4</v>
      </c>
      <c r="P66" s="50"/>
      <c r="Q66" s="50"/>
      <c r="R66" s="50"/>
      <c r="S66" s="50"/>
      <c r="T66" s="50"/>
      <c r="U66" s="50"/>
      <c r="V66" s="1"/>
      <c r="W66" s="1"/>
      <c r="X66" s="1"/>
      <c r="Y66" s="1"/>
      <c r="Z66" s="1"/>
      <c r="AA66" s="1"/>
      <c r="AB66" s="1"/>
      <c r="AC66" s="1"/>
    </row>
    <row r="67" spans="2:29" ht="14.25" customHeight="1" x14ac:dyDescent="0.3">
      <c r="B67" s="149" t="s">
        <v>66</v>
      </c>
      <c r="C67" s="142">
        <v>2</v>
      </c>
      <c r="D67" s="64" t="s">
        <v>338</v>
      </c>
      <c r="E67" s="65" t="s">
        <v>421</v>
      </c>
      <c r="F67" s="65" t="s">
        <v>156</v>
      </c>
      <c r="G67" s="64">
        <v>2</v>
      </c>
      <c r="H67" s="50"/>
      <c r="I67" s="50"/>
      <c r="J67" s="190">
        <v>6</v>
      </c>
      <c r="K67" s="199" t="s">
        <v>240</v>
      </c>
      <c r="L67" s="191"/>
      <c r="M67" s="200">
        <f t="shared" si="0"/>
        <v>1</v>
      </c>
      <c r="N67" s="200">
        <f t="shared" si="1"/>
        <v>2</v>
      </c>
      <c r="O67" s="200">
        <f t="shared" si="2"/>
        <v>3</v>
      </c>
      <c r="P67" s="50"/>
      <c r="Q67" s="50"/>
      <c r="R67" s="50"/>
      <c r="S67" s="50"/>
      <c r="T67" s="50"/>
      <c r="U67" s="50"/>
      <c r="V67" s="1"/>
      <c r="W67" s="1"/>
      <c r="X67" s="1"/>
      <c r="Y67" s="1"/>
      <c r="Z67" s="1"/>
      <c r="AA67" s="1"/>
      <c r="AB67" s="1"/>
      <c r="AC67" s="1"/>
    </row>
    <row r="68" spans="2:29" ht="14.25" customHeight="1" x14ac:dyDescent="0.3">
      <c r="B68" s="218"/>
      <c r="C68" s="218"/>
      <c r="D68" s="169" t="s">
        <v>149</v>
      </c>
      <c r="E68" s="170"/>
      <c r="F68" s="224"/>
      <c r="G68" s="217">
        <f>SUM(G62:G67)</f>
        <v>12</v>
      </c>
      <c r="H68" s="50"/>
      <c r="I68" s="50"/>
      <c r="J68" s="190">
        <v>7</v>
      </c>
      <c r="K68" s="194" t="s">
        <v>241</v>
      </c>
      <c r="L68" s="191"/>
      <c r="M68" s="200">
        <f t="shared" si="0"/>
        <v>3</v>
      </c>
      <c r="N68" s="200">
        <f t="shared" si="1"/>
        <v>2</v>
      </c>
      <c r="O68" s="200">
        <f t="shared" si="2"/>
        <v>5</v>
      </c>
      <c r="P68" s="50"/>
      <c r="Q68" s="50"/>
      <c r="R68" s="50"/>
      <c r="S68" s="50"/>
      <c r="T68" s="50"/>
      <c r="U68" s="50"/>
      <c r="V68" s="1"/>
      <c r="W68" s="1"/>
      <c r="X68" s="1"/>
      <c r="Y68" s="1"/>
      <c r="Z68" s="1"/>
      <c r="AA68" s="1"/>
      <c r="AB68" s="1"/>
      <c r="AC68" s="1"/>
    </row>
    <row r="69" spans="2:29" ht="14.25" customHeight="1" x14ac:dyDescent="0.3">
      <c r="H69" s="50"/>
      <c r="I69" s="50"/>
      <c r="J69" s="192">
        <v>8</v>
      </c>
      <c r="K69" s="194" t="s">
        <v>242</v>
      </c>
      <c r="L69" s="191"/>
      <c r="M69" s="200">
        <f t="shared" si="0"/>
        <v>2</v>
      </c>
      <c r="N69" s="200">
        <f t="shared" si="1"/>
        <v>1</v>
      </c>
      <c r="O69" s="200">
        <f t="shared" si="2"/>
        <v>3</v>
      </c>
      <c r="P69" s="50"/>
      <c r="Q69" s="50"/>
      <c r="R69" s="50"/>
      <c r="S69" s="50"/>
      <c r="T69" s="50"/>
      <c r="U69" s="50"/>
      <c r="V69" s="1"/>
      <c r="W69" s="1"/>
      <c r="X69" s="1"/>
      <c r="Y69" s="1"/>
      <c r="Z69" s="1"/>
      <c r="AA69" s="1"/>
      <c r="AB69" s="1"/>
      <c r="AC69" s="1"/>
    </row>
    <row r="70" spans="2:29" ht="14.25" customHeight="1" x14ac:dyDescent="0.3">
      <c r="D70" s="50"/>
      <c r="E70" s="50"/>
      <c r="F70" s="50"/>
      <c r="G70" s="50"/>
      <c r="H70" s="50"/>
      <c r="I70" s="50"/>
      <c r="J70" s="190">
        <v>9</v>
      </c>
      <c r="K70" s="194" t="s">
        <v>243</v>
      </c>
      <c r="L70" s="191"/>
      <c r="M70" s="200">
        <f t="shared" si="0"/>
        <v>2</v>
      </c>
      <c r="N70" s="200">
        <f t="shared" si="1"/>
        <v>1</v>
      </c>
      <c r="O70" s="200">
        <f t="shared" si="2"/>
        <v>3</v>
      </c>
      <c r="P70" s="50"/>
      <c r="Q70" s="50"/>
      <c r="R70" s="50"/>
      <c r="S70" s="50"/>
      <c r="T70" s="50"/>
      <c r="U70" s="50"/>
      <c r="V70" s="1"/>
      <c r="W70" s="1"/>
      <c r="X70" s="1"/>
      <c r="Y70" s="1"/>
      <c r="Z70" s="1"/>
      <c r="AA70" s="1"/>
      <c r="AB70" s="1"/>
      <c r="AC70" s="1"/>
    </row>
    <row r="71" spans="2:29" ht="14.25" customHeight="1" x14ac:dyDescent="0.3">
      <c r="B71" s="218"/>
      <c r="C71" s="144">
        <v>2</v>
      </c>
      <c r="D71" s="87" t="s">
        <v>435</v>
      </c>
      <c r="E71" s="87" t="s">
        <v>436</v>
      </c>
      <c r="F71" s="87" t="s">
        <v>439</v>
      </c>
      <c r="G71" s="88" t="s">
        <v>1</v>
      </c>
      <c r="H71" s="50"/>
      <c r="I71" s="50"/>
      <c r="J71" s="190">
        <v>10</v>
      </c>
      <c r="K71" s="194" t="s">
        <v>244</v>
      </c>
      <c r="L71" s="191"/>
      <c r="M71" s="200">
        <f t="shared" si="0"/>
        <v>3</v>
      </c>
      <c r="N71" s="200">
        <f t="shared" si="1"/>
        <v>1</v>
      </c>
      <c r="O71" s="200">
        <f t="shared" si="2"/>
        <v>4</v>
      </c>
      <c r="P71" s="50"/>
      <c r="Q71" s="50"/>
      <c r="R71" s="50"/>
      <c r="S71" s="50"/>
      <c r="T71" s="50"/>
      <c r="U71" s="50"/>
      <c r="V71" s="1"/>
      <c r="W71" s="1"/>
      <c r="X71" s="1"/>
      <c r="Y71" s="1"/>
      <c r="Z71" s="1"/>
      <c r="AA71" s="1"/>
      <c r="AB71" s="1"/>
      <c r="AC71" s="1"/>
    </row>
    <row r="72" spans="2:29" ht="14.25" customHeight="1" x14ac:dyDescent="0.3">
      <c r="B72" s="150" t="s">
        <v>45</v>
      </c>
      <c r="C72" s="144">
        <v>2</v>
      </c>
      <c r="D72" s="67" t="s">
        <v>339</v>
      </c>
      <c r="E72" s="68" t="s">
        <v>469</v>
      </c>
      <c r="F72" s="68" t="s">
        <v>468</v>
      </c>
      <c r="G72" s="69">
        <v>2</v>
      </c>
      <c r="H72" s="50"/>
      <c r="I72" s="50" t="s">
        <v>467</v>
      </c>
      <c r="J72" s="192">
        <v>11</v>
      </c>
      <c r="K72" s="194" t="s">
        <v>245</v>
      </c>
      <c r="L72" s="191"/>
      <c r="M72" s="200">
        <f t="shared" si="0"/>
        <v>1</v>
      </c>
      <c r="N72" s="200">
        <f t="shared" si="1"/>
        <v>1</v>
      </c>
      <c r="O72" s="200">
        <f t="shared" si="2"/>
        <v>2</v>
      </c>
      <c r="P72" s="50"/>
      <c r="Q72" s="50"/>
      <c r="R72" s="50"/>
      <c r="S72" s="50"/>
      <c r="T72" s="50"/>
      <c r="U72" s="50"/>
      <c r="V72" s="1"/>
      <c r="W72" s="1"/>
      <c r="X72" s="1"/>
      <c r="Y72" s="1"/>
      <c r="Z72" s="1"/>
      <c r="AA72" s="1"/>
      <c r="AB72" s="1"/>
      <c r="AC72" s="1"/>
    </row>
    <row r="73" spans="2:29" ht="14.25" customHeight="1" x14ac:dyDescent="0.3">
      <c r="B73" s="150" t="s">
        <v>45</v>
      </c>
      <c r="C73" s="144">
        <v>2</v>
      </c>
      <c r="D73" s="67" t="s">
        <v>340</v>
      </c>
      <c r="E73" s="70" t="s">
        <v>51</v>
      </c>
      <c r="F73" s="70" t="s">
        <v>413</v>
      </c>
      <c r="G73" s="69">
        <v>2</v>
      </c>
      <c r="I73" s="50" t="s">
        <v>246</v>
      </c>
      <c r="J73" s="192">
        <v>12</v>
      </c>
      <c r="K73" s="195" t="s">
        <v>246</v>
      </c>
      <c r="L73" s="191"/>
      <c r="M73" s="200">
        <f t="shared" si="0"/>
        <v>1</v>
      </c>
      <c r="N73" s="200">
        <f t="shared" si="1"/>
        <v>4</v>
      </c>
      <c r="O73" s="200">
        <f t="shared" si="2"/>
        <v>5</v>
      </c>
      <c r="P73" s="50"/>
      <c r="Q73" s="50"/>
      <c r="R73" s="50"/>
      <c r="S73" s="50"/>
      <c r="T73" s="50"/>
      <c r="U73" s="50"/>
      <c r="V73" s="1"/>
      <c r="W73" s="1"/>
      <c r="X73" s="1"/>
      <c r="Y73" s="1"/>
      <c r="Z73" s="1"/>
      <c r="AA73" s="1"/>
      <c r="AB73" s="1"/>
      <c r="AC73" s="1"/>
    </row>
    <row r="74" spans="2:29" ht="14.25" customHeight="1" x14ac:dyDescent="0.3">
      <c r="B74" s="150" t="s">
        <v>66</v>
      </c>
      <c r="C74" s="144">
        <v>2</v>
      </c>
      <c r="D74" s="67" t="s">
        <v>341</v>
      </c>
      <c r="E74" s="70" t="s">
        <v>411</v>
      </c>
      <c r="F74" s="70" t="s">
        <v>157</v>
      </c>
      <c r="G74" s="69"/>
      <c r="H74" s="50" t="s">
        <v>244</v>
      </c>
      <c r="I74" s="50"/>
      <c r="J74" s="195"/>
      <c r="K74" s="196" t="s">
        <v>149</v>
      </c>
      <c r="L74" s="191"/>
      <c r="M74" s="200">
        <f>SUM(M62:M73)</f>
        <v>24</v>
      </c>
      <c r="N74" s="200">
        <f t="shared" ref="N74" si="3">SUM(N62:N73)</f>
        <v>21</v>
      </c>
      <c r="O74" s="200">
        <f t="shared" si="2"/>
        <v>45</v>
      </c>
      <c r="P74" s="50"/>
      <c r="Q74" s="50"/>
      <c r="R74" s="50"/>
      <c r="S74" s="50"/>
      <c r="T74" s="50"/>
      <c r="U74" s="50"/>
      <c r="V74" s="1"/>
      <c r="W74" s="1"/>
      <c r="X74" s="1"/>
      <c r="Y74" s="1"/>
      <c r="Z74" s="1"/>
      <c r="AA74" s="1"/>
      <c r="AB74" s="1"/>
      <c r="AC74" s="1"/>
    </row>
    <row r="75" spans="2:29" ht="14.25" customHeight="1" x14ac:dyDescent="0.3">
      <c r="B75" s="150" t="s">
        <v>66</v>
      </c>
      <c r="C75" s="144">
        <v>2</v>
      </c>
      <c r="D75" s="67" t="s">
        <v>342</v>
      </c>
      <c r="E75" s="68" t="s">
        <v>148</v>
      </c>
      <c r="F75" s="68" t="s">
        <v>412</v>
      </c>
      <c r="G75" s="69">
        <v>2</v>
      </c>
      <c r="H75" s="50" t="s">
        <v>244</v>
      </c>
      <c r="I75" s="50"/>
      <c r="J75" s="50"/>
      <c r="K75" s="50"/>
      <c r="M75" s="50"/>
      <c r="N75" s="50"/>
      <c r="O75" s="50"/>
      <c r="P75" s="50"/>
      <c r="Q75" s="50"/>
      <c r="R75" s="50"/>
      <c r="S75" s="50"/>
      <c r="T75" s="50"/>
      <c r="U75" s="50"/>
      <c r="V75" s="1"/>
      <c r="W75" s="1"/>
      <c r="X75" s="1"/>
      <c r="Y75" s="1"/>
      <c r="Z75" s="1"/>
      <c r="AA75" s="1"/>
      <c r="AB75" s="1"/>
      <c r="AC75" s="1"/>
    </row>
    <row r="76" spans="2:29" ht="14.25" customHeight="1" x14ac:dyDescent="0.3">
      <c r="B76" s="150" t="s">
        <v>45</v>
      </c>
      <c r="C76" s="144">
        <v>2</v>
      </c>
      <c r="D76" s="67" t="s">
        <v>343</v>
      </c>
      <c r="E76" s="68" t="s">
        <v>147</v>
      </c>
      <c r="F76" s="68" t="s">
        <v>414</v>
      </c>
      <c r="G76" s="69">
        <v>2</v>
      </c>
      <c r="H76" s="50"/>
      <c r="I76" s="50"/>
      <c r="J76" s="190">
        <v>1</v>
      </c>
      <c r="K76" s="191" t="s">
        <v>253</v>
      </c>
      <c r="L76" s="191"/>
      <c r="M76" s="200">
        <f t="shared" ref="M76:M81" si="4">COUNTIF($H$6:$H$88,K76)</f>
        <v>0</v>
      </c>
      <c r="N76" s="200">
        <f t="shared" ref="N76:N81" si="5">COUNTIF($I$6:$I$88,K76)</f>
        <v>1</v>
      </c>
      <c r="O76" s="200">
        <f>M76+N76</f>
        <v>1</v>
      </c>
      <c r="P76" s="50"/>
      <c r="Q76" s="50"/>
      <c r="R76" s="50"/>
      <c r="S76" s="50"/>
      <c r="T76" s="50"/>
      <c r="U76" s="50"/>
      <c r="V76" s="1"/>
      <c r="W76" s="1"/>
      <c r="X76" s="1"/>
      <c r="Y76" s="1"/>
      <c r="Z76" s="1"/>
      <c r="AA76" s="1"/>
      <c r="AB76" s="1"/>
      <c r="AC76" s="1"/>
    </row>
    <row r="77" spans="2:29" ht="14.25" customHeight="1" x14ac:dyDescent="0.3">
      <c r="B77" s="150" t="s">
        <v>66</v>
      </c>
      <c r="C77" s="144">
        <v>2</v>
      </c>
      <c r="D77" s="67" t="s">
        <v>344</v>
      </c>
      <c r="E77" s="68" t="s">
        <v>145</v>
      </c>
      <c r="F77" s="68" t="s">
        <v>415</v>
      </c>
      <c r="G77" s="69">
        <v>2</v>
      </c>
      <c r="H77" s="50"/>
      <c r="I77" s="50"/>
      <c r="J77" s="192">
        <v>2</v>
      </c>
      <c r="K77" s="193" t="s">
        <v>254</v>
      </c>
      <c r="L77" s="191"/>
      <c r="M77" s="200">
        <f t="shared" si="4"/>
        <v>1</v>
      </c>
      <c r="N77" s="200">
        <f t="shared" si="5"/>
        <v>1</v>
      </c>
      <c r="O77" s="200">
        <f t="shared" ref="O77:O81" si="6">M77+N77</f>
        <v>2</v>
      </c>
      <c r="P77" s="50"/>
      <c r="Q77" s="50"/>
      <c r="R77" s="50"/>
      <c r="S77" s="50"/>
      <c r="T77" s="50"/>
      <c r="U77" s="50"/>
      <c r="V77" s="1"/>
      <c r="W77" s="1"/>
      <c r="X77" s="1"/>
      <c r="Y77" s="1"/>
      <c r="Z77" s="1"/>
      <c r="AA77" s="1"/>
      <c r="AB77" s="1"/>
      <c r="AC77" s="1"/>
    </row>
    <row r="78" spans="2:29" ht="14.25" customHeight="1" x14ac:dyDescent="0.3">
      <c r="B78" s="218"/>
      <c r="C78" s="218"/>
      <c r="D78" s="171" t="s">
        <v>149</v>
      </c>
      <c r="E78" s="172"/>
      <c r="F78" s="172"/>
      <c r="G78" s="219">
        <f>SUM(G72:G77)</f>
        <v>10</v>
      </c>
      <c r="H78" s="50"/>
      <c r="I78" s="50"/>
      <c r="J78" s="190">
        <v>3</v>
      </c>
      <c r="K78" s="193" t="s">
        <v>255</v>
      </c>
      <c r="L78" s="191"/>
      <c r="M78" s="200">
        <f t="shared" si="4"/>
        <v>0</v>
      </c>
      <c r="N78" s="200">
        <f t="shared" si="5"/>
        <v>1</v>
      </c>
      <c r="O78" s="200">
        <f t="shared" si="6"/>
        <v>1</v>
      </c>
      <c r="P78" s="50"/>
      <c r="Q78" s="50"/>
      <c r="R78" s="50"/>
      <c r="S78" s="50"/>
      <c r="T78" s="50"/>
      <c r="U78" s="50"/>
      <c r="V78" s="1"/>
      <c r="W78" s="1"/>
      <c r="X78" s="1"/>
      <c r="Y78" s="1"/>
      <c r="Z78" s="1"/>
      <c r="AA78" s="1"/>
      <c r="AB78" s="1"/>
      <c r="AC78" s="1"/>
    </row>
    <row r="79" spans="2:29" ht="14.25" customHeight="1" x14ac:dyDescent="0.3">
      <c r="J79" s="190">
        <v>4</v>
      </c>
      <c r="K79" s="194" t="s">
        <v>256</v>
      </c>
      <c r="L79" s="191"/>
      <c r="M79" s="200">
        <f t="shared" si="4"/>
        <v>2</v>
      </c>
      <c r="N79" s="200">
        <f t="shared" si="5"/>
        <v>0</v>
      </c>
      <c r="O79" s="200">
        <f t="shared" si="6"/>
        <v>2</v>
      </c>
      <c r="P79" s="50"/>
      <c r="Q79" s="50"/>
      <c r="R79" s="50"/>
      <c r="S79" s="50"/>
      <c r="T79" s="50"/>
      <c r="U79" s="50"/>
      <c r="V79" s="1"/>
      <c r="W79" s="1"/>
      <c r="X79" s="1"/>
      <c r="Y79" s="1"/>
      <c r="Z79" s="1"/>
      <c r="AA79" s="1"/>
      <c r="AB79" s="1"/>
      <c r="AC79" s="1"/>
    </row>
    <row r="80" spans="2:29" ht="14.25" customHeight="1" x14ac:dyDescent="0.3">
      <c r="B80" s="218"/>
      <c r="C80" s="145">
        <v>1</v>
      </c>
      <c r="D80" s="71" t="s">
        <v>435</v>
      </c>
      <c r="E80" s="248" t="s">
        <v>434</v>
      </c>
      <c r="F80" s="248"/>
      <c r="G80" s="72" t="s">
        <v>1</v>
      </c>
      <c r="H80" s="50"/>
      <c r="I80" s="50"/>
      <c r="J80" s="192">
        <v>5</v>
      </c>
      <c r="K80" s="199" t="s">
        <v>257</v>
      </c>
      <c r="L80" s="191"/>
      <c r="M80" s="200">
        <f t="shared" si="4"/>
        <v>0</v>
      </c>
      <c r="N80" s="200">
        <f t="shared" si="5"/>
        <v>0</v>
      </c>
      <c r="O80" s="200">
        <f t="shared" si="6"/>
        <v>0</v>
      </c>
      <c r="P80" s="50"/>
      <c r="Q80" s="50"/>
      <c r="R80" s="50"/>
      <c r="S80" s="50"/>
      <c r="T80" s="50"/>
      <c r="U80" s="50"/>
      <c r="V80" s="1"/>
      <c r="W80" s="1"/>
      <c r="X80" s="1"/>
      <c r="Y80" s="1"/>
      <c r="Z80" s="1"/>
      <c r="AA80" s="1"/>
      <c r="AB80" s="1"/>
      <c r="AC80" s="1"/>
    </row>
    <row r="81" spans="2:29" ht="14.25" customHeight="1" x14ac:dyDescent="0.3">
      <c r="B81" s="151" t="s">
        <v>45</v>
      </c>
      <c r="C81" s="145">
        <v>2</v>
      </c>
      <c r="D81" s="90" t="s">
        <v>345</v>
      </c>
      <c r="E81" s="221" t="s">
        <v>428</v>
      </c>
      <c r="F81" s="221" t="s">
        <v>422</v>
      </c>
      <c r="G81" s="94">
        <v>2</v>
      </c>
      <c r="H81" s="50"/>
      <c r="I81" s="50" t="s">
        <v>241</v>
      </c>
      <c r="J81" s="190">
        <v>6</v>
      </c>
      <c r="K81" s="199" t="s">
        <v>258</v>
      </c>
      <c r="L81" s="191"/>
      <c r="M81" s="200">
        <f t="shared" si="4"/>
        <v>0</v>
      </c>
      <c r="N81" s="200">
        <f t="shared" si="5"/>
        <v>0</v>
      </c>
      <c r="O81" s="200">
        <f t="shared" si="6"/>
        <v>0</v>
      </c>
      <c r="P81" s="50"/>
      <c r="Q81" s="50"/>
      <c r="R81" s="50"/>
      <c r="S81" s="50"/>
      <c r="T81" s="50"/>
      <c r="U81" s="50"/>
      <c r="V81" s="1"/>
      <c r="W81" s="1"/>
      <c r="X81" s="1"/>
      <c r="Y81" s="1"/>
      <c r="Z81" s="1"/>
      <c r="AA81" s="1"/>
      <c r="AB81" s="1"/>
      <c r="AC81" s="1"/>
    </row>
    <row r="82" spans="2:29" ht="14.25" customHeight="1" x14ac:dyDescent="0.3">
      <c r="B82" s="151" t="s">
        <v>45</v>
      </c>
      <c r="C82" s="145">
        <v>2</v>
      </c>
      <c r="D82" s="90" t="s">
        <v>346</v>
      </c>
      <c r="E82" s="222" t="s">
        <v>159</v>
      </c>
      <c r="F82" s="222" t="s">
        <v>423</v>
      </c>
      <c r="G82" s="94">
        <v>2</v>
      </c>
      <c r="H82" s="50"/>
      <c r="I82" s="50" t="s">
        <v>235</v>
      </c>
      <c r="J82" s="195"/>
      <c r="K82" s="196" t="s">
        <v>149</v>
      </c>
      <c r="L82" s="191"/>
      <c r="M82" s="200">
        <f ca="1">SUM(M76:M87)</f>
        <v>5</v>
      </c>
      <c r="N82" s="200">
        <f ca="1">SUM(N76:N87)</f>
        <v>2</v>
      </c>
      <c r="O82" s="200">
        <f ca="1">M82+N82</f>
        <v>7</v>
      </c>
      <c r="P82" s="50"/>
      <c r="Q82" s="50"/>
      <c r="R82" s="50"/>
      <c r="S82" s="50"/>
      <c r="T82" s="50"/>
      <c r="U82" s="50"/>
      <c r="V82" s="1"/>
      <c r="W82" s="1"/>
      <c r="X82" s="1"/>
      <c r="Y82" s="1"/>
      <c r="Z82" s="1"/>
      <c r="AA82" s="1"/>
      <c r="AB82" s="1"/>
      <c r="AC82" s="1"/>
    </row>
    <row r="83" spans="2:29" ht="14.25" customHeight="1" x14ac:dyDescent="0.3">
      <c r="B83" s="151" t="s">
        <v>66</v>
      </c>
      <c r="C83" s="145">
        <v>2</v>
      </c>
      <c r="D83" s="90" t="s">
        <v>347</v>
      </c>
      <c r="E83" s="222" t="s">
        <v>429</v>
      </c>
      <c r="F83" s="222" t="s">
        <v>426</v>
      </c>
      <c r="G83" s="90">
        <v>2</v>
      </c>
      <c r="H83" s="50" t="s">
        <v>241</v>
      </c>
      <c r="I83" s="50"/>
      <c r="J83" s="50"/>
      <c r="K83" s="50"/>
      <c r="M83" s="50"/>
      <c r="N83" s="50"/>
      <c r="O83" s="50"/>
      <c r="P83" s="50"/>
      <c r="Q83" s="50"/>
      <c r="R83" s="50"/>
      <c r="S83" s="50"/>
      <c r="T83" s="50"/>
      <c r="U83" s="50"/>
      <c r="V83" s="1"/>
      <c r="W83" s="1"/>
      <c r="X83" s="1"/>
      <c r="Y83" s="1"/>
      <c r="Z83" s="1"/>
      <c r="AA83" s="1"/>
      <c r="AB83" s="1"/>
      <c r="AC83" s="1"/>
    </row>
    <row r="84" spans="2:29" ht="14.25" customHeight="1" x14ac:dyDescent="0.3">
      <c r="B84" s="151" t="s">
        <v>66</v>
      </c>
      <c r="C84" s="145">
        <v>2</v>
      </c>
      <c r="D84" s="91" t="s">
        <v>348</v>
      </c>
      <c r="E84" s="223" t="s">
        <v>249</v>
      </c>
      <c r="F84" s="223" t="s">
        <v>425</v>
      </c>
      <c r="G84" s="93">
        <v>2</v>
      </c>
      <c r="H84" s="50" t="s">
        <v>239</v>
      </c>
      <c r="I84" s="50"/>
      <c r="J84" s="189" t="s">
        <v>233</v>
      </c>
      <c r="K84" s="189" t="s">
        <v>234</v>
      </c>
      <c r="L84" s="189"/>
      <c r="M84" s="189" t="s">
        <v>247</v>
      </c>
      <c r="N84" s="189" t="s">
        <v>248</v>
      </c>
      <c r="O84" s="189" t="s">
        <v>250</v>
      </c>
      <c r="P84" s="50"/>
      <c r="Q84" s="50"/>
      <c r="R84" s="50"/>
      <c r="S84" s="50"/>
      <c r="T84" s="50"/>
      <c r="U84" s="50"/>
      <c r="V84" s="1"/>
      <c r="W84" s="1"/>
      <c r="X84" s="1"/>
      <c r="Y84" s="1"/>
      <c r="Z84" s="1"/>
      <c r="AA84" s="1"/>
      <c r="AB84" s="1"/>
      <c r="AC84" s="1"/>
    </row>
    <row r="85" spans="2:29" ht="14.25" customHeight="1" x14ac:dyDescent="0.3">
      <c r="B85" s="151" t="s">
        <v>45</v>
      </c>
      <c r="C85" s="145">
        <v>2</v>
      </c>
      <c r="D85" s="90" t="s">
        <v>349</v>
      </c>
      <c r="E85" s="221" t="s">
        <v>220</v>
      </c>
      <c r="F85" s="221" t="s">
        <v>424</v>
      </c>
      <c r="G85" s="90">
        <v>2</v>
      </c>
      <c r="H85" s="50"/>
      <c r="I85" s="50"/>
      <c r="J85" s="190">
        <v>1</v>
      </c>
      <c r="K85" s="191" t="s">
        <v>259</v>
      </c>
      <c r="L85" s="191"/>
      <c r="M85" s="200">
        <f>COUNTIF($H$6:$H$88,K85)</f>
        <v>0</v>
      </c>
      <c r="N85" s="200">
        <f>COUNTIF($I$6:$I$88,K85)</f>
        <v>0</v>
      </c>
      <c r="O85" s="200">
        <f>M85+N85</f>
        <v>0</v>
      </c>
      <c r="P85" s="50"/>
      <c r="Q85" s="50"/>
      <c r="R85" s="50"/>
      <c r="S85" s="50"/>
      <c r="T85" s="50"/>
      <c r="U85" s="50"/>
      <c r="V85" s="1"/>
      <c r="W85" s="1"/>
      <c r="X85" s="1"/>
      <c r="Y85" s="1"/>
      <c r="Z85" s="1"/>
      <c r="AA85" s="1"/>
      <c r="AB85" s="1"/>
      <c r="AC85" s="1"/>
    </row>
    <row r="86" spans="2:29" ht="14.25" customHeight="1" x14ac:dyDescent="0.3">
      <c r="B86" s="151" t="s">
        <v>66</v>
      </c>
      <c r="C86" s="145">
        <v>2</v>
      </c>
      <c r="D86" s="90" t="s">
        <v>350</v>
      </c>
      <c r="E86" s="221" t="s">
        <v>151</v>
      </c>
      <c r="F86" s="221" t="s">
        <v>427</v>
      </c>
      <c r="G86" s="90">
        <v>2</v>
      </c>
      <c r="H86" s="50"/>
      <c r="I86" s="50"/>
      <c r="J86" s="192">
        <v>2</v>
      </c>
      <c r="K86" s="193" t="s">
        <v>260</v>
      </c>
      <c r="L86" s="191"/>
      <c r="M86" s="200">
        <f>COUNTIF($H$6:$H$88,K86)</f>
        <v>0</v>
      </c>
      <c r="N86" s="200">
        <f>COUNTIF($I$6:$I$88,K86)</f>
        <v>0</v>
      </c>
      <c r="O86" s="200">
        <f t="shared" ref="O86" si="7">M86+N86</f>
        <v>0</v>
      </c>
      <c r="P86" s="50"/>
      <c r="Q86" s="50"/>
      <c r="R86" s="50"/>
      <c r="S86" s="50"/>
      <c r="T86" s="50"/>
      <c r="U86" s="50"/>
      <c r="V86" s="1"/>
      <c r="W86" s="1"/>
      <c r="X86" s="1"/>
      <c r="Y86" s="1"/>
      <c r="Z86" s="1"/>
      <c r="AA86" s="1"/>
      <c r="AB86" s="1"/>
      <c r="AC86" s="1"/>
    </row>
    <row r="87" spans="2:29" ht="14.25" customHeight="1" x14ac:dyDescent="0.3">
      <c r="B87" s="218"/>
      <c r="C87" s="218"/>
      <c r="D87" s="188" t="s">
        <v>149</v>
      </c>
      <c r="E87" s="173"/>
      <c r="F87" s="173"/>
      <c r="G87" s="220">
        <f>SUM(G81:G86)</f>
        <v>12</v>
      </c>
      <c r="H87" s="50"/>
      <c r="I87" s="50"/>
      <c r="J87" s="195"/>
      <c r="K87" s="196" t="s">
        <v>149</v>
      </c>
      <c r="L87" s="191"/>
      <c r="M87" s="200">
        <f ca="1">SUM(M85:M96)</f>
        <v>5</v>
      </c>
      <c r="N87" s="200">
        <f ca="1">SUM(N85:N96)</f>
        <v>2</v>
      </c>
      <c r="O87" s="200">
        <f ca="1">M87+N87</f>
        <v>7</v>
      </c>
      <c r="P87" s="50"/>
      <c r="Q87" s="50"/>
      <c r="R87" s="50"/>
      <c r="S87" s="50"/>
      <c r="T87" s="50"/>
      <c r="U87" s="50"/>
      <c r="V87" s="1"/>
      <c r="W87" s="1"/>
      <c r="X87" s="1"/>
      <c r="Y87" s="1"/>
      <c r="Z87" s="1"/>
      <c r="AA87" s="1"/>
      <c r="AB87" s="1"/>
      <c r="AC87" s="1"/>
    </row>
    <row r="88" spans="2:29" ht="14.25" customHeight="1" x14ac:dyDescent="0.3">
      <c r="H88" s="50"/>
      <c r="I88" s="50"/>
      <c r="J88" s="50"/>
      <c r="K88" s="50"/>
      <c r="L88" s="50"/>
      <c r="M88" s="50"/>
      <c r="N88" s="50"/>
      <c r="O88" s="50"/>
      <c r="P88" s="50"/>
      <c r="Q88" s="50"/>
      <c r="R88" s="50"/>
      <c r="S88" s="50"/>
      <c r="T88" s="50"/>
      <c r="U88" s="50"/>
      <c r="V88" s="1"/>
      <c r="W88" s="1"/>
      <c r="X88" s="1"/>
      <c r="Y88" s="1"/>
      <c r="Z88" s="1"/>
      <c r="AA88" s="1"/>
      <c r="AB88" s="1"/>
      <c r="AC88" s="1"/>
    </row>
    <row r="89" spans="2:29" ht="14.25" customHeight="1" x14ac:dyDescent="0.3">
      <c r="H89" s="50"/>
      <c r="I89" s="50"/>
      <c r="J89" s="50"/>
      <c r="K89" s="50"/>
      <c r="L89" s="50"/>
      <c r="M89" s="50"/>
      <c r="N89" s="50"/>
      <c r="O89" s="50"/>
      <c r="P89" s="50"/>
      <c r="Q89" s="50"/>
      <c r="R89" s="50"/>
      <c r="S89" s="50"/>
      <c r="T89" s="50"/>
      <c r="U89" s="50"/>
      <c r="V89" s="1"/>
      <c r="W89" s="1"/>
      <c r="X89" s="1"/>
      <c r="Y89" s="1"/>
      <c r="Z89" s="1"/>
      <c r="AA89" s="1"/>
      <c r="AB89" s="1"/>
      <c r="AC89" s="1"/>
    </row>
    <row r="90" spans="2:29" ht="14.25" customHeight="1" x14ac:dyDescent="0.3">
      <c r="B90" s="50"/>
      <c r="C90" s="50"/>
      <c r="D90" s="163" t="s">
        <v>164</v>
      </c>
      <c r="E90" s="164"/>
      <c r="F90" s="164"/>
      <c r="G90" s="125" t="s">
        <v>1</v>
      </c>
      <c r="H90" s="50"/>
      <c r="I90" s="50"/>
      <c r="J90" s="50"/>
      <c r="K90" s="50"/>
      <c r="L90" s="50"/>
      <c r="M90" s="50"/>
      <c r="N90" s="50"/>
      <c r="O90" s="50"/>
      <c r="P90" s="50"/>
      <c r="Q90" s="50"/>
      <c r="R90" s="50"/>
      <c r="S90" s="50"/>
      <c r="T90" s="50"/>
      <c r="U90" s="50"/>
      <c r="V90" s="1"/>
      <c r="W90" s="1"/>
      <c r="X90" s="1"/>
      <c r="Y90" s="1"/>
      <c r="Z90" s="1"/>
      <c r="AA90" s="1"/>
      <c r="AB90" s="1"/>
      <c r="AC90" s="1"/>
    </row>
    <row r="91" spans="2:29" ht="14.25" customHeight="1" x14ac:dyDescent="0.3">
      <c r="B91" s="251">
        <v>5</v>
      </c>
      <c r="C91" s="249">
        <v>1</v>
      </c>
      <c r="D91" s="126" t="s">
        <v>352</v>
      </c>
      <c r="E91" s="126" t="s">
        <v>221</v>
      </c>
      <c r="F91" s="126" t="s">
        <v>442</v>
      </c>
      <c r="G91" s="249">
        <v>1</v>
      </c>
      <c r="H91" s="50"/>
      <c r="I91" s="50"/>
      <c r="J91" s="50"/>
      <c r="P91" s="50"/>
      <c r="Q91" s="50"/>
      <c r="R91" s="50"/>
      <c r="S91" s="50"/>
      <c r="T91" s="50"/>
      <c r="U91" s="50"/>
      <c r="V91" s="1"/>
      <c r="W91" s="1"/>
      <c r="X91" s="1"/>
      <c r="Y91" s="1"/>
      <c r="Z91" s="1"/>
      <c r="AA91" s="1"/>
      <c r="AB91" s="1"/>
      <c r="AC91" s="1"/>
    </row>
    <row r="92" spans="2:29" ht="14.25" customHeight="1" x14ac:dyDescent="0.3">
      <c r="B92" s="251">
        <v>5</v>
      </c>
      <c r="C92" s="250">
        <v>2</v>
      </c>
      <c r="D92" s="126" t="s">
        <v>353</v>
      </c>
      <c r="E92" s="126" t="s">
        <v>222</v>
      </c>
      <c r="F92" s="126" t="s">
        <v>443</v>
      </c>
      <c r="G92" s="250">
        <v>2</v>
      </c>
      <c r="H92" s="1"/>
      <c r="I92" s="50"/>
      <c r="J92" s="50"/>
      <c r="K92" s="50"/>
      <c r="L92" s="50"/>
      <c r="M92" s="50"/>
      <c r="N92" s="50"/>
      <c r="O92" s="50"/>
      <c r="P92" s="50"/>
      <c r="Q92" s="50"/>
      <c r="R92" s="50"/>
      <c r="S92" s="50"/>
      <c r="T92" s="50"/>
      <c r="U92" s="50"/>
      <c r="V92" s="1"/>
      <c r="W92" s="1"/>
      <c r="X92" s="1"/>
      <c r="Y92" s="1"/>
      <c r="Z92" s="1"/>
      <c r="AA92" s="1"/>
      <c r="AB92" s="1"/>
      <c r="AC92" s="1"/>
    </row>
    <row r="93" spans="2:29" ht="14.25" customHeight="1" x14ac:dyDescent="0.3">
      <c r="B93" s="251">
        <v>5</v>
      </c>
      <c r="C93" s="250">
        <v>3</v>
      </c>
      <c r="D93" s="126" t="s">
        <v>354</v>
      </c>
      <c r="E93" s="126" t="s">
        <v>223</v>
      </c>
      <c r="F93" s="126" t="s">
        <v>444</v>
      </c>
      <c r="G93" s="250">
        <v>3</v>
      </c>
      <c r="H93" s="1"/>
      <c r="I93" s="1"/>
      <c r="J93" s="1"/>
      <c r="K93" s="1"/>
      <c r="L93" s="1"/>
      <c r="M93" s="1"/>
      <c r="N93" s="1"/>
      <c r="O93" s="1"/>
      <c r="P93" s="1"/>
      <c r="Q93" s="1"/>
      <c r="R93" s="1"/>
      <c r="S93" s="1"/>
      <c r="T93" s="1"/>
      <c r="U93" s="1"/>
      <c r="V93" s="1"/>
      <c r="W93" s="1"/>
      <c r="X93" s="1"/>
      <c r="Y93" s="1"/>
      <c r="Z93" s="1"/>
      <c r="AA93" s="1"/>
      <c r="AB93" s="1"/>
      <c r="AC93" s="1"/>
    </row>
    <row r="94" spans="2:29" ht="14.25" customHeight="1" x14ac:dyDescent="0.3">
      <c r="B94" s="251">
        <v>5</v>
      </c>
      <c r="C94" s="251">
        <v>4</v>
      </c>
      <c r="D94" s="126" t="s">
        <v>355</v>
      </c>
      <c r="E94" s="126" t="s">
        <v>224</v>
      </c>
      <c r="F94" s="126" t="s">
        <v>445</v>
      </c>
      <c r="G94" s="251">
        <v>4</v>
      </c>
      <c r="H94" s="1"/>
      <c r="I94" s="1"/>
      <c r="J94" s="1"/>
      <c r="K94" s="1"/>
      <c r="L94" s="1"/>
      <c r="M94" s="1"/>
      <c r="N94" s="1"/>
      <c r="O94" s="1"/>
      <c r="P94" s="1"/>
      <c r="Q94" s="1"/>
      <c r="R94" s="1"/>
      <c r="S94" s="1"/>
      <c r="T94" s="1"/>
      <c r="U94" s="1"/>
      <c r="V94" s="1"/>
      <c r="W94" s="1"/>
      <c r="X94" s="1"/>
      <c r="Y94" s="1"/>
      <c r="Z94" s="1"/>
      <c r="AA94" s="1"/>
      <c r="AB94" s="1"/>
      <c r="AC94" s="1"/>
    </row>
    <row r="95" spans="2:29" ht="14.25" customHeight="1" x14ac:dyDescent="0.3">
      <c r="B95" s="251">
        <v>5</v>
      </c>
      <c r="C95" s="251">
        <v>5</v>
      </c>
      <c r="D95" s="126" t="s">
        <v>356</v>
      </c>
      <c r="E95" s="126" t="s">
        <v>225</v>
      </c>
      <c r="F95" s="126" t="s">
        <v>446</v>
      </c>
      <c r="G95" s="251">
        <v>5</v>
      </c>
      <c r="H95" s="1"/>
      <c r="I95" s="1"/>
      <c r="J95" s="1"/>
      <c r="K95" s="1"/>
      <c r="L95" s="1"/>
      <c r="M95" s="1"/>
      <c r="N95" s="1"/>
      <c r="O95" s="1"/>
      <c r="P95" s="1"/>
      <c r="Q95" s="1"/>
      <c r="R95" s="1"/>
      <c r="S95" s="1"/>
      <c r="T95" s="1"/>
      <c r="U95" s="1"/>
      <c r="V95" s="1"/>
      <c r="W95" s="1"/>
      <c r="X95" s="1"/>
      <c r="Y95" s="1"/>
      <c r="Z95" s="1"/>
      <c r="AA95" s="1"/>
      <c r="AB95" s="1"/>
      <c r="AC95" s="1"/>
    </row>
    <row r="96" spans="2:29" ht="14.25" customHeight="1" x14ac:dyDescent="0.3">
      <c r="B96" s="251">
        <v>5</v>
      </c>
      <c r="C96" s="251">
        <v>6</v>
      </c>
      <c r="D96" s="126" t="s">
        <v>357</v>
      </c>
      <c r="E96" s="126" t="s">
        <v>226</v>
      </c>
      <c r="F96" s="126" t="s">
        <v>447</v>
      </c>
      <c r="G96" s="251">
        <v>6</v>
      </c>
      <c r="I96" s="1"/>
      <c r="J96" s="1"/>
      <c r="K96" s="1"/>
      <c r="L96" s="1"/>
      <c r="M96" s="1"/>
      <c r="N96" s="1"/>
      <c r="O96" s="1"/>
      <c r="P96" s="1"/>
      <c r="Q96" s="1"/>
      <c r="R96" s="1"/>
      <c r="S96" s="1"/>
      <c r="T96" s="1"/>
      <c r="U96" s="1"/>
      <c r="V96" s="1"/>
      <c r="W96" s="1"/>
      <c r="X96" s="1"/>
      <c r="Y96" s="1"/>
      <c r="Z96" s="1"/>
      <c r="AA96" s="1"/>
      <c r="AB96" s="1"/>
      <c r="AC96" s="1"/>
    </row>
    <row r="97" spans="2:29" ht="14.25" customHeight="1" x14ac:dyDescent="0.3">
      <c r="B97" s="1"/>
      <c r="C97" s="1"/>
      <c r="D97" s="165" t="s">
        <v>149</v>
      </c>
      <c r="E97" s="166"/>
      <c r="F97" s="166"/>
      <c r="G97" s="252">
        <f>SUM(G90:G96)</f>
        <v>21</v>
      </c>
      <c r="H97" s="1"/>
      <c r="I97" s="1"/>
      <c r="J97" s="1"/>
      <c r="K97" s="1"/>
      <c r="L97" s="1"/>
      <c r="M97" s="1"/>
      <c r="N97" s="1"/>
      <c r="O97" s="1"/>
      <c r="P97" s="1"/>
      <c r="Q97" s="1"/>
      <c r="R97" s="1"/>
      <c r="S97" s="1"/>
      <c r="T97" s="1"/>
      <c r="U97" s="1"/>
      <c r="V97" s="1"/>
      <c r="W97" s="1"/>
      <c r="X97" s="1"/>
      <c r="Y97" s="1"/>
      <c r="Z97" s="1"/>
      <c r="AA97" s="1"/>
      <c r="AB97" s="1"/>
      <c r="AC97" s="1"/>
    </row>
    <row r="98" spans="2:29" ht="14.25" customHeight="1" x14ac:dyDescent="0.3">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2:29" ht="14.25" customHeight="1" x14ac:dyDescent="0.3">
      <c r="B99" s="1"/>
      <c r="C99" s="1"/>
      <c r="D99" s="163" t="s">
        <v>164</v>
      </c>
      <c r="E99" s="164"/>
      <c r="F99" s="164"/>
      <c r="G99" s="125" t="s">
        <v>1</v>
      </c>
      <c r="H99" s="1"/>
      <c r="I99" s="1"/>
      <c r="J99" s="1"/>
      <c r="K99" s="1"/>
      <c r="L99" s="1"/>
      <c r="M99" s="1"/>
      <c r="N99" s="1"/>
      <c r="O99" s="1"/>
      <c r="P99" s="1"/>
      <c r="Q99" s="1"/>
      <c r="R99" s="1"/>
      <c r="S99" s="1"/>
      <c r="T99" s="1"/>
      <c r="U99" s="1"/>
      <c r="V99" s="1"/>
      <c r="W99" s="1"/>
      <c r="X99" s="1"/>
      <c r="Y99" s="1"/>
      <c r="Z99" s="1"/>
      <c r="AA99" s="1"/>
      <c r="AB99" s="1"/>
      <c r="AC99" s="1"/>
    </row>
    <row r="100" spans="2:29" ht="14.25" customHeight="1" x14ac:dyDescent="0.3">
      <c r="B100" s="251">
        <v>6</v>
      </c>
      <c r="C100" s="249">
        <v>1</v>
      </c>
      <c r="D100" s="126" t="s">
        <v>358</v>
      </c>
      <c r="E100" s="126" t="s">
        <v>227</v>
      </c>
      <c r="F100" s="126" t="s">
        <v>448</v>
      </c>
      <c r="G100" s="249">
        <v>1</v>
      </c>
      <c r="H100" s="1"/>
      <c r="I100" s="1"/>
      <c r="J100" s="1"/>
      <c r="K100" s="1"/>
      <c r="L100" s="1"/>
      <c r="M100" s="1"/>
      <c r="N100" s="1"/>
      <c r="O100" s="1"/>
      <c r="P100" s="1"/>
      <c r="Q100" s="1"/>
      <c r="R100" s="1"/>
      <c r="S100" s="1"/>
      <c r="T100" s="1"/>
      <c r="U100" s="1"/>
      <c r="V100" s="1"/>
      <c r="W100" s="1"/>
      <c r="X100" s="1"/>
      <c r="Y100" s="1"/>
      <c r="Z100" s="1"/>
      <c r="AA100" s="1"/>
      <c r="AB100" s="1"/>
      <c r="AC100" s="1"/>
    </row>
    <row r="101" spans="2:29" ht="14.25" customHeight="1" x14ac:dyDescent="0.3">
      <c r="B101" s="251">
        <v>6</v>
      </c>
      <c r="C101" s="250">
        <v>2</v>
      </c>
      <c r="D101" s="126" t="s">
        <v>359</v>
      </c>
      <c r="E101" s="126" t="s">
        <v>228</v>
      </c>
      <c r="F101" s="126" t="s">
        <v>449</v>
      </c>
      <c r="G101" s="250">
        <v>2</v>
      </c>
      <c r="H101" s="1"/>
      <c r="I101" s="1"/>
      <c r="J101" s="1"/>
      <c r="K101" s="1"/>
      <c r="L101" s="1"/>
      <c r="M101" s="1"/>
      <c r="N101" s="1"/>
      <c r="O101" s="1"/>
      <c r="P101" s="1"/>
      <c r="Q101" s="1"/>
      <c r="R101" s="1"/>
      <c r="S101" s="1"/>
      <c r="T101" s="1"/>
      <c r="U101" s="1"/>
      <c r="V101" s="1"/>
      <c r="W101" s="1"/>
      <c r="X101" s="1"/>
      <c r="Y101" s="1"/>
      <c r="Z101" s="1"/>
      <c r="AA101" s="1"/>
      <c r="AB101" s="1"/>
      <c r="AC101" s="1"/>
    </row>
    <row r="102" spans="2:29" ht="14.25" customHeight="1" x14ac:dyDescent="0.3">
      <c r="B102" s="251">
        <v>6</v>
      </c>
      <c r="C102" s="250">
        <v>3</v>
      </c>
      <c r="D102" s="126" t="s">
        <v>360</v>
      </c>
      <c r="E102" s="126" t="s">
        <v>229</v>
      </c>
      <c r="F102" s="126" t="s">
        <v>450</v>
      </c>
      <c r="G102" s="250">
        <v>3</v>
      </c>
      <c r="H102" s="1"/>
      <c r="I102" s="1"/>
      <c r="J102" s="1"/>
      <c r="K102" s="1"/>
      <c r="L102" s="1"/>
      <c r="M102" s="1"/>
      <c r="N102" s="1"/>
      <c r="O102" s="1"/>
      <c r="P102" s="1"/>
      <c r="Q102" s="1"/>
      <c r="R102" s="1"/>
      <c r="S102" s="1"/>
      <c r="T102" s="1"/>
      <c r="U102" s="1"/>
      <c r="V102" s="1"/>
      <c r="W102" s="1"/>
      <c r="X102" s="1"/>
      <c r="Y102" s="1"/>
      <c r="Z102" s="1"/>
      <c r="AA102" s="1"/>
      <c r="AB102" s="1"/>
      <c r="AC102" s="1"/>
    </row>
    <row r="103" spans="2:29" ht="14.25" customHeight="1" x14ac:dyDescent="0.3">
      <c r="B103" s="251">
        <v>6</v>
      </c>
      <c r="C103" s="251">
        <v>4</v>
      </c>
      <c r="D103" s="126" t="s">
        <v>361</v>
      </c>
      <c r="E103" s="126" t="s">
        <v>230</v>
      </c>
      <c r="F103" s="126" t="s">
        <v>451</v>
      </c>
      <c r="G103" s="251">
        <v>4</v>
      </c>
      <c r="H103" s="1"/>
      <c r="I103" s="1"/>
      <c r="J103" s="1"/>
      <c r="K103" s="1"/>
      <c r="L103" s="1"/>
      <c r="M103" s="1"/>
      <c r="N103" s="1"/>
      <c r="O103" s="1"/>
      <c r="P103" s="1"/>
      <c r="Q103" s="1"/>
      <c r="R103" s="1"/>
      <c r="S103" s="1"/>
      <c r="T103" s="1"/>
      <c r="U103" s="1"/>
      <c r="V103" s="1"/>
      <c r="W103" s="1"/>
      <c r="X103" s="1"/>
      <c r="Y103" s="1"/>
      <c r="Z103" s="1"/>
      <c r="AA103" s="1"/>
      <c r="AB103" s="1"/>
      <c r="AC103" s="1"/>
    </row>
    <row r="104" spans="2:29" ht="14.25" customHeight="1" x14ac:dyDescent="0.3">
      <c r="B104" s="251">
        <v>6</v>
      </c>
      <c r="C104" s="251">
        <v>5</v>
      </c>
      <c r="D104" s="126" t="s">
        <v>362</v>
      </c>
      <c r="E104" s="126" t="s">
        <v>231</v>
      </c>
      <c r="F104" s="126" t="s">
        <v>452</v>
      </c>
      <c r="G104" s="251">
        <v>5</v>
      </c>
      <c r="H104" s="1"/>
      <c r="I104" s="1"/>
      <c r="J104" s="1"/>
      <c r="K104" s="1"/>
      <c r="L104" s="1"/>
      <c r="M104" s="1"/>
      <c r="N104" s="1"/>
      <c r="O104" s="1"/>
      <c r="P104" s="1"/>
      <c r="Q104" s="1"/>
      <c r="R104" s="1"/>
      <c r="S104" s="1"/>
      <c r="T104" s="1"/>
      <c r="U104" s="1"/>
      <c r="V104" s="1"/>
      <c r="W104" s="1"/>
      <c r="X104" s="1"/>
      <c r="Y104" s="1"/>
      <c r="Z104" s="1"/>
      <c r="AA104" s="1"/>
      <c r="AB104" s="1"/>
      <c r="AC104" s="1"/>
    </row>
    <row r="105" spans="2:29" ht="14.25" customHeight="1" x14ac:dyDescent="0.3">
      <c r="B105" s="251">
        <v>6</v>
      </c>
      <c r="C105" s="251">
        <v>6</v>
      </c>
      <c r="D105" s="126" t="s">
        <v>363</v>
      </c>
      <c r="E105" s="126" t="s">
        <v>232</v>
      </c>
      <c r="F105" s="126" t="s">
        <v>453</v>
      </c>
      <c r="G105" s="251">
        <v>6</v>
      </c>
      <c r="H105" s="1"/>
      <c r="I105" s="1"/>
      <c r="J105" s="1"/>
      <c r="K105" s="1"/>
      <c r="L105" s="1"/>
      <c r="M105" s="1"/>
      <c r="N105" s="1"/>
      <c r="O105" s="1"/>
      <c r="P105" s="1"/>
      <c r="Q105" s="1"/>
      <c r="R105" s="1"/>
      <c r="S105" s="1"/>
      <c r="T105" s="1"/>
      <c r="U105" s="1"/>
      <c r="V105" s="1"/>
      <c r="W105" s="1"/>
      <c r="X105" s="1"/>
      <c r="Y105" s="1"/>
      <c r="Z105" s="1"/>
      <c r="AA105" s="1"/>
      <c r="AB105" s="1"/>
      <c r="AC105" s="1"/>
    </row>
    <row r="106" spans="2:29" ht="14.25" customHeight="1" x14ac:dyDescent="0.3">
      <c r="B106" s="1"/>
      <c r="C106" s="1"/>
      <c r="D106" s="165" t="s">
        <v>149</v>
      </c>
      <c r="E106" s="166"/>
      <c r="F106" s="166"/>
      <c r="G106" s="252">
        <f>SUM(G99:G105)</f>
        <v>21</v>
      </c>
      <c r="H106" s="1"/>
      <c r="I106" s="1"/>
      <c r="J106" s="1"/>
      <c r="K106" s="1"/>
      <c r="L106" s="1"/>
      <c r="M106" s="1"/>
      <c r="N106" s="1"/>
      <c r="O106" s="1"/>
      <c r="P106" s="1"/>
      <c r="Q106" s="1"/>
      <c r="R106" s="1"/>
      <c r="S106" s="1"/>
      <c r="T106" s="1"/>
      <c r="U106" s="1"/>
      <c r="V106" s="1"/>
      <c r="W106" s="1"/>
      <c r="X106" s="1"/>
      <c r="Y106" s="1"/>
      <c r="Z106" s="1"/>
      <c r="AA106" s="1"/>
      <c r="AB106" s="1"/>
      <c r="AC106" s="1"/>
    </row>
    <row r="107" spans="2:29" ht="14.25" customHeight="1" x14ac:dyDescent="0.3">
      <c r="B107" s="1"/>
      <c r="C107" s="1"/>
      <c r="D107" s="89"/>
      <c r="E107" s="167"/>
      <c r="F107" s="167"/>
      <c r="G107" s="168"/>
      <c r="H107" s="1"/>
      <c r="I107" s="1"/>
      <c r="J107" s="1"/>
      <c r="K107" s="1"/>
      <c r="L107" s="1"/>
      <c r="M107" s="1"/>
      <c r="N107" s="1"/>
      <c r="O107" s="1"/>
      <c r="P107" s="1"/>
      <c r="Q107" s="1"/>
      <c r="R107" s="1"/>
      <c r="S107" s="1"/>
      <c r="T107" s="1"/>
      <c r="U107" s="1"/>
      <c r="V107" s="1"/>
      <c r="W107" s="1"/>
      <c r="X107" s="1"/>
      <c r="Y107" s="1"/>
      <c r="Z107" s="1"/>
      <c r="AA107" s="1"/>
      <c r="AB107" s="1"/>
      <c r="AC107" s="1"/>
    </row>
    <row r="108" spans="2:29" ht="14.25" customHeight="1" x14ac:dyDescent="0.3">
      <c r="B108" s="1"/>
      <c r="C108" s="1"/>
      <c r="D108" s="126"/>
      <c r="E108" s="127" t="s">
        <v>470</v>
      </c>
      <c r="F108" s="127"/>
      <c r="G108" s="250">
        <v>20</v>
      </c>
      <c r="H108" s="1"/>
      <c r="I108" s="1"/>
      <c r="J108" s="1"/>
      <c r="K108" s="1"/>
      <c r="L108" s="1"/>
      <c r="M108" s="1"/>
      <c r="N108" s="1"/>
      <c r="O108" s="1"/>
      <c r="P108" s="1"/>
      <c r="Q108" s="1"/>
      <c r="R108" s="1"/>
      <c r="S108" s="1"/>
      <c r="T108" s="1"/>
      <c r="U108" s="1"/>
      <c r="V108" s="1"/>
      <c r="W108" s="1"/>
      <c r="X108" s="1"/>
      <c r="Y108" s="1"/>
      <c r="Z108" s="1"/>
      <c r="AA108" s="1"/>
      <c r="AB108" s="1"/>
      <c r="AC108" s="1"/>
    </row>
    <row r="109" spans="2:29" ht="14.25" customHeight="1" x14ac:dyDescent="0.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2:29" ht="14.25" customHeight="1" x14ac:dyDescent="0.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2:29" ht="14.25" customHeight="1" x14ac:dyDescent="0.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2:29" ht="14.25" customHeight="1" x14ac:dyDescent="0.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2:29" ht="14.25" customHeight="1" x14ac:dyDescent="0.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2:29" ht="14.25" customHeight="1" x14ac:dyDescent="0.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2:29" ht="14.25" customHeight="1" x14ac:dyDescent="0.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2:29" ht="14.25" customHeight="1" x14ac:dyDescent="0.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2:29" ht="14.25" customHeight="1" x14ac:dyDescent="0.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2:29" ht="14.25" customHeight="1" x14ac:dyDescent="0.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2:29" ht="14.25" customHeight="1" x14ac:dyDescent="0.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2:29" ht="14.25" customHeight="1" x14ac:dyDescent="0.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2:29" ht="14.25" customHeight="1" x14ac:dyDescent="0.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2:29" ht="14.25" customHeight="1" x14ac:dyDescent="0.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2:29" ht="14.25" customHeight="1" x14ac:dyDescent="0.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2:29" ht="14.25" customHeight="1" x14ac:dyDescent="0.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2:29" ht="14.25" customHeight="1" x14ac:dyDescent="0.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2:29" ht="14.25" customHeight="1" x14ac:dyDescent="0.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2:29" ht="14.25" customHeight="1" x14ac:dyDescent="0.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2:29" ht="14.25" customHeight="1" x14ac:dyDescent="0.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2:29" ht="14.25" customHeight="1" x14ac:dyDescent="0.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4.25" customHeight="1" x14ac:dyDescent="0.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2:29" ht="14.25" customHeight="1" x14ac:dyDescent="0.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25" customHeight="1" x14ac:dyDescent="0.3">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25" customHeight="1" x14ac:dyDescent="0.3">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25" customHeight="1" x14ac:dyDescent="0.3">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25" customHeight="1" x14ac:dyDescent="0.3">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25" customHeight="1" x14ac:dyDescent="0.3">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25" customHeight="1" x14ac:dyDescent="0.3">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25" customHeight="1" x14ac:dyDescent="0.3">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2:29" ht="14.25" customHeight="1" x14ac:dyDescent="0.3">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2:29" ht="14.25" customHeight="1" x14ac:dyDescent="0.3">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2:29" ht="14.25" customHeight="1" x14ac:dyDescent="0.3">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2:29" ht="14.25" customHeight="1" x14ac:dyDescent="0.3">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2:29" ht="14.25" customHeight="1" x14ac:dyDescent="0.3">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25" customHeight="1" x14ac:dyDescent="0.3">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25" customHeight="1" x14ac:dyDescent="0.3">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25" customHeight="1" x14ac:dyDescent="0.3">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25" customHeight="1" x14ac:dyDescent="0.3">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25" customHeight="1" x14ac:dyDescent="0.3">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25" customHeight="1" x14ac:dyDescent="0.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25" customHeight="1" x14ac:dyDescent="0.3">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25" customHeight="1" x14ac:dyDescent="0.3">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2:29" ht="14.25" customHeight="1" x14ac:dyDescent="0.3">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2:29" ht="14.25" customHeight="1" x14ac:dyDescent="0.3">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25" customHeight="1" x14ac:dyDescent="0.3">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2:29" ht="14.25" customHeight="1" x14ac:dyDescent="0.3">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2:29" ht="14.25" customHeight="1" x14ac:dyDescent="0.3">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2:29" ht="14.25" customHeight="1" x14ac:dyDescent="0.3">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2:29" ht="14.25" customHeight="1" x14ac:dyDescent="0.3">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2:29" ht="14.25" customHeight="1" x14ac:dyDescent="0.3">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2:29" ht="14.25" customHeight="1" x14ac:dyDescent="0.3">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2:29" ht="14.25" customHeight="1" x14ac:dyDescent="0.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2:29" ht="14.25" customHeight="1" x14ac:dyDescent="0.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2:29" ht="14.25" customHeight="1" x14ac:dyDescent="0.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2:29" ht="14.25" customHeight="1" x14ac:dyDescent="0.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2:29" ht="14.25" customHeight="1" x14ac:dyDescent="0.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2:29" ht="14.25" customHeight="1" x14ac:dyDescent="0.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2:29" ht="14.25" customHeight="1" x14ac:dyDescent="0.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2:29" ht="14.25" customHeight="1" x14ac:dyDescent="0.3">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2:29" ht="14.25" customHeight="1" x14ac:dyDescent="0.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2:29" ht="14.25" customHeight="1" x14ac:dyDescent="0.3">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2:29" ht="14.25" customHeight="1" x14ac:dyDescent="0.3">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2:29" ht="14.25" customHeight="1" x14ac:dyDescent="0.3">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2:29" ht="14.25" customHeight="1" x14ac:dyDescent="0.3">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2:29" ht="14.25" customHeight="1" x14ac:dyDescent="0.3">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2:29" ht="14.25" customHeight="1" x14ac:dyDescent="0.3">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2:29" ht="14.25" customHeight="1" x14ac:dyDescent="0.3">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2:29" ht="14.25" customHeight="1" x14ac:dyDescent="0.3">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2:29" ht="14.25" customHeight="1" x14ac:dyDescent="0.3">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2:29" ht="14.25" customHeight="1" x14ac:dyDescent="0.3">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2:29" ht="14.25" customHeight="1" x14ac:dyDescent="0.3">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2:29" ht="14.25" customHeight="1" x14ac:dyDescent="0.3">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2:29" ht="14.25" customHeight="1" x14ac:dyDescent="0.3">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2:29" ht="14.25" customHeight="1" x14ac:dyDescent="0.3">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2:29" ht="14.25" customHeight="1" x14ac:dyDescent="0.3">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2:29" ht="14.25" customHeight="1" x14ac:dyDescent="0.3">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2:29" ht="14.25" customHeight="1" x14ac:dyDescent="0.3">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2:29" ht="14.25" customHeight="1" x14ac:dyDescent="0.3">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2:29" ht="14.25" customHeight="1" x14ac:dyDescent="0.3">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2:29" ht="14.25" customHeight="1" x14ac:dyDescent="0.3">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2:29" ht="14.25" customHeight="1" x14ac:dyDescent="0.3">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2:29" ht="14.25" customHeight="1" x14ac:dyDescent="0.3">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2:29" ht="14.25" customHeight="1" x14ac:dyDescent="0.3">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2:29" ht="14.25" customHeight="1" x14ac:dyDescent="0.3">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2:29" ht="14.25" customHeight="1" x14ac:dyDescent="0.3">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2:29" ht="14.25" customHeight="1" x14ac:dyDescent="0.3">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2:29" ht="14.25" customHeight="1" x14ac:dyDescent="0.3">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2:29" ht="14.25" customHeight="1" x14ac:dyDescent="0.3">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2:29" ht="14.25" customHeight="1" x14ac:dyDescent="0.3">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2:29" ht="14.25" customHeight="1" x14ac:dyDescent="0.3">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2:29" ht="14.25" customHeight="1" x14ac:dyDescent="0.3">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2:29" ht="14.25" customHeight="1" x14ac:dyDescent="0.3">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2:29" ht="14.25" customHeight="1" x14ac:dyDescent="0.3">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2:29" ht="14.25" customHeight="1" x14ac:dyDescent="0.3">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2:29" ht="14.25" customHeight="1" x14ac:dyDescent="0.3">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2:29" ht="14.25" customHeight="1" x14ac:dyDescent="0.3">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2:29" ht="14.25" customHeight="1" x14ac:dyDescent="0.3">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2:29" ht="14.25" customHeight="1" x14ac:dyDescent="0.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2:29" ht="14.25" customHeight="1" x14ac:dyDescent="0.3">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2:29" ht="14.25" customHeight="1" x14ac:dyDescent="0.3">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2:29" ht="14.25" customHeight="1" x14ac:dyDescent="0.3">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2:29" ht="14.25" customHeight="1" x14ac:dyDescent="0.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2:29" ht="14.25" customHeight="1" x14ac:dyDescent="0.3">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2:29" ht="14.25" customHeight="1" x14ac:dyDescent="0.3">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2:29" ht="14.25" customHeight="1" x14ac:dyDescent="0.3">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2:29" ht="14.25" customHeight="1" x14ac:dyDescent="0.3">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2:29" ht="14.25" customHeight="1" x14ac:dyDescent="0.3">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2:29" ht="14.25" customHeight="1" x14ac:dyDescent="0.3">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2:29" ht="14.25" customHeight="1" x14ac:dyDescent="0.3">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2:29" ht="14.25" customHeight="1" x14ac:dyDescent="0.3">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2:29" ht="14.25" customHeight="1" x14ac:dyDescent="0.3">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2:29" ht="14.25" customHeight="1" x14ac:dyDescent="0.3">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2:29" ht="14.25" customHeight="1" x14ac:dyDescent="0.3">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2:29" ht="14.25" customHeight="1" x14ac:dyDescent="0.3">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2:29" ht="14.25" customHeight="1" x14ac:dyDescent="0.3">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2:29" ht="14.25" customHeight="1" x14ac:dyDescent="0.3">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2:29" ht="14.25" customHeight="1" x14ac:dyDescent="0.3">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2:29" ht="14.25" customHeight="1" x14ac:dyDescent="0.3">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2:29" ht="14.25" customHeight="1" x14ac:dyDescent="0.3">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2:29" ht="14.25" customHeight="1" x14ac:dyDescent="0.3">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2:29" ht="14.25" customHeight="1" x14ac:dyDescent="0.3">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2:29" ht="14.25" customHeight="1" x14ac:dyDescent="0.3">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2:29" ht="14.25" customHeight="1" x14ac:dyDescent="0.3">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2:29" ht="14.25" customHeight="1" x14ac:dyDescent="0.3">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2:29" ht="14.25" customHeight="1" x14ac:dyDescent="0.3">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2:29" ht="14.25" customHeight="1" x14ac:dyDescent="0.3">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2:29" ht="14.25" customHeight="1" x14ac:dyDescent="0.3">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2:29" ht="14.25" customHeight="1" x14ac:dyDescent="0.3">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2:29" ht="14.25" customHeight="1" x14ac:dyDescent="0.3">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2:29" ht="14.25" customHeight="1" x14ac:dyDescent="0.3">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2:29" ht="14.25" customHeight="1" x14ac:dyDescent="0.3">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2:29" ht="14.25" customHeight="1" x14ac:dyDescent="0.3">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2:29" ht="14.25" customHeight="1" x14ac:dyDescent="0.3">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2:29" ht="14.25" customHeight="1" x14ac:dyDescent="0.3">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2:29" ht="14.25" customHeight="1" x14ac:dyDescent="0.3">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2:29" ht="14.25" customHeight="1" x14ac:dyDescent="0.3">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2:29" ht="14.25" customHeight="1" x14ac:dyDescent="0.3">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2:29" ht="14.25" customHeight="1" x14ac:dyDescent="0.3">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2:29" ht="14.25" customHeight="1" x14ac:dyDescent="0.3">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2:29" ht="14.25" customHeight="1" x14ac:dyDescent="0.3">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2:29" ht="14.25" customHeight="1" x14ac:dyDescent="0.3">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2:29" ht="14.25" customHeight="1" x14ac:dyDescent="0.3">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2:29" ht="14.25" customHeight="1" x14ac:dyDescent="0.3">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2:29" ht="14.25" customHeight="1" x14ac:dyDescent="0.3">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2:29" ht="14.25" customHeight="1" x14ac:dyDescent="0.3">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2:29" ht="14.25" customHeight="1" x14ac:dyDescent="0.3">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2:29" ht="14.25" customHeight="1" x14ac:dyDescent="0.3">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2:29" ht="14.25" customHeight="1" x14ac:dyDescent="0.3">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2:29" ht="14.25" customHeight="1" x14ac:dyDescent="0.3">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2:29" ht="14.25" customHeight="1" x14ac:dyDescent="0.3">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2:29" ht="14.25" customHeight="1" x14ac:dyDescent="0.3">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2:29" ht="14.25" customHeight="1" x14ac:dyDescent="0.3">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2:29" ht="14.25" customHeight="1" x14ac:dyDescent="0.3">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2:29" ht="14.25" customHeight="1" x14ac:dyDescent="0.3">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2:29" ht="14.25" customHeight="1" x14ac:dyDescent="0.3">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2:29" ht="14.25" customHeight="1" x14ac:dyDescent="0.3">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2:29" ht="14.25" customHeight="1" x14ac:dyDescent="0.3">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2:29" ht="14.25" customHeight="1" x14ac:dyDescent="0.3">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2:29" ht="14.25" customHeight="1" x14ac:dyDescent="0.3">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2:29" ht="14.25" customHeight="1" x14ac:dyDescent="0.3">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2:29" ht="14.25" customHeight="1" x14ac:dyDescent="0.3">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2:29" ht="14.25" customHeight="1" x14ac:dyDescent="0.3">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2:29" ht="14.25" customHeight="1" x14ac:dyDescent="0.3">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2:29" ht="14.25" customHeight="1" x14ac:dyDescent="0.3">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2:29" ht="14.25" customHeight="1" x14ac:dyDescent="0.3">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2:29" ht="14.25" customHeight="1" x14ac:dyDescent="0.3">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2:29" ht="14.25" customHeight="1" x14ac:dyDescent="0.3">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2:29" ht="14.25" customHeight="1" x14ac:dyDescent="0.3">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2:29" ht="14.25" customHeight="1" x14ac:dyDescent="0.3">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2:29" ht="14.25" customHeight="1" x14ac:dyDescent="0.3">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2:29" ht="14.25" customHeight="1" x14ac:dyDescent="0.3">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2:29" ht="14.25" customHeight="1" x14ac:dyDescent="0.3">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2:29" ht="14.25" customHeight="1" x14ac:dyDescent="0.3">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2:29" ht="14.25" customHeight="1" x14ac:dyDescent="0.3">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2:29" ht="14.25" customHeight="1" x14ac:dyDescent="0.3">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2:29" ht="14.25" customHeight="1" x14ac:dyDescent="0.3">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2:29" ht="14.25" customHeight="1" x14ac:dyDescent="0.3">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2:29" ht="14.25" customHeight="1" x14ac:dyDescent="0.3">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2:29" ht="14.25" customHeight="1" x14ac:dyDescent="0.3">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2:29" ht="14.25" customHeight="1" x14ac:dyDescent="0.3">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2:29" ht="14.25" customHeight="1" x14ac:dyDescent="0.3">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2:29" ht="14.25" customHeight="1" x14ac:dyDescent="0.3">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2:29" ht="14.25" customHeight="1" x14ac:dyDescent="0.3">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2:29" ht="14.25" customHeight="1" x14ac:dyDescent="0.3">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2:29" ht="14.25" customHeight="1" x14ac:dyDescent="0.3">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2:29" ht="14.25" customHeight="1" x14ac:dyDescent="0.3">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2:29" ht="14.25" customHeight="1" x14ac:dyDescent="0.3">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2:29" ht="14.25" customHeight="1" x14ac:dyDescent="0.3">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2:29" ht="14.25" customHeight="1" x14ac:dyDescent="0.3">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2:29" ht="14.25" customHeight="1" x14ac:dyDescent="0.3">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2:29" ht="14.25" customHeight="1" x14ac:dyDescent="0.3">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2:29" ht="14.25" customHeight="1" x14ac:dyDescent="0.3">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2:29" ht="14.25" customHeight="1" x14ac:dyDescent="0.3">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2:29" ht="14.25" customHeight="1" x14ac:dyDescent="0.3">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2:29" ht="14.25" customHeight="1" x14ac:dyDescent="0.3">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2:29" ht="14.25" customHeight="1" x14ac:dyDescent="0.3">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2:29" ht="14.25" customHeight="1" x14ac:dyDescent="0.3">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2:29" ht="14.25" customHeight="1" x14ac:dyDescent="0.3">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2:29" ht="14.25" customHeight="1" x14ac:dyDescent="0.3">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2:29" ht="14.25" customHeight="1" x14ac:dyDescent="0.3">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2:29" ht="14.25" customHeight="1" x14ac:dyDescent="0.3">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2:29" ht="14.25" customHeight="1" x14ac:dyDescent="0.3">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2:29" ht="14.25" customHeight="1" x14ac:dyDescent="0.3">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2:29" ht="14.25" customHeight="1" x14ac:dyDescent="0.3">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2:29" ht="14.25" customHeight="1" x14ac:dyDescent="0.3">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2:29" ht="14.25" customHeight="1" x14ac:dyDescent="0.3">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2:29" ht="14.25" customHeight="1" x14ac:dyDescent="0.3">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2:29" ht="14.25" customHeight="1" x14ac:dyDescent="0.3">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2:29" ht="14.25" customHeight="1" x14ac:dyDescent="0.3">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2:29" ht="14.25" customHeight="1" x14ac:dyDescent="0.3">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2:29" ht="14.25" customHeight="1" x14ac:dyDescent="0.3">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2:29" ht="14.25" customHeight="1" x14ac:dyDescent="0.3">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2:29" ht="14.25" customHeight="1" x14ac:dyDescent="0.3">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2:29" ht="14.25" customHeight="1" x14ac:dyDescent="0.3">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2:29" ht="14.25" customHeight="1" x14ac:dyDescent="0.3">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2:29" ht="14.25" customHeight="1" x14ac:dyDescent="0.3">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2:29" ht="14.25" customHeight="1" x14ac:dyDescent="0.3">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2:29" ht="14.25" customHeight="1" x14ac:dyDescent="0.3">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2:29" ht="14.25" customHeight="1" x14ac:dyDescent="0.3">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2:29" ht="14.25" customHeight="1" x14ac:dyDescent="0.3">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2:29" ht="14.25" customHeight="1" x14ac:dyDescent="0.3">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2:29" ht="14.25" customHeight="1" x14ac:dyDescent="0.3">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2:29" ht="14.25" customHeight="1" x14ac:dyDescent="0.3">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2:29" ht="14.25" customHeight="1" x14ac:dyDescent="0.3">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2:29" ht="14.25" customHeight="1" x14ac:dyDescent="0.3">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2:29" ht="14.25" customHeight="1" x14ac:dyDescent="0.3">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2:29" ht="14.25" customHeight="1" x14ac:dyDescent="0.3">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2:29" ht="14.25" customHeight="1" x14ac:dyDescent="0.3">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2:29" ht="14.25" customHeight="1" x14ac:dyDescent="0.3">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2:29" ht="14.25" customHeight="1" x14ac:dyDescent="0.3">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2:29" ht="14.25" customHeight="1" x14ac:dyDescent="0.3">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2:29" ht="14.25" customHeight="1" x14ac:dyDescent="0.3">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2:29" ht="14.25" customHeight="1" x14ac:dyDescent="0.3">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2:29" ht="14.25" customHeight="1" x14ac:dyDescent="0.3">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2:29" ht="14.25" customHeight="1" x14ac:dyDescent="0.3">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2:29" ht="14.25" customHeight="1" x14ac:dyDescent="0.3">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2:29" ht="14.25" customHeight="1" x14ac:dyDescent="0.3">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2:29" ht="14.25" customHeight="1" x14ac:dyDescent="0.3">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2:29" ht="14.25" customHeight="1" x14ac:dyDescent="0.3">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2:29" ht="14.25" customHeight="1" x14ac:dyDescent="0.3">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2:29" ht="14.25" customHeight="1" x14ac:dyDescent="0.3">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2:29" ht="14.25" customHeight="1" x14ac:dyDescent="0.3">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2:29" ht="14.25" customHeight="1" x14ac:dyDescent="0.3">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2:29" ht="14.25" customHeight="1" x14ac:dyDescent="0.3">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2:29" ht="14.25" customHeight="1" x14ac:dyDescent="0.3">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2:29" ht="14.25" customHeight="1" x14ac:dyDescent="0.3">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2:29" ht="14.25" customHeight="1" x14ac:dyDescent="0.3">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2:29" ht="14.25" customHeight="1" x14ac:dyDescent="0.3">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2:29" ht="14.25" customHeight="1" x14ac:dyDescent="0.3">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2:29" ht="14.25" customHeight="1" x14ac:dyDescent="0.3">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2:29" ht="14.25" customHeight="1" x14ac:dyDescent="0.3">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2:29" ht="14.25" customHeight="1" x14ac:dyDescent="0.3">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2:29" ht="14.25" customHeight="1" x14ac:dyDescent="0.3">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2:29" ht="14.25" customHeight="1" x14ac:dyDescent="0.3">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2:29" ht="14.25" customHeight="1" x14ac:dyDescent="0.3">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2:29" ht="14.25" customHeight="1" x14ac:dyDescent="0.3">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2:29" ht="14.25" customHeight="1" x14ac:dyDescent="0.3">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2:29" ht="14.25" customHeight="1" x14ac:dyDescent="0.3">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2:29" ht="14.25" customHeight="1" x14ac:dyDescent="0.3">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2:29" ht="14.25" customHeight="1" x14ac:dyDescent="0.3">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2:29" ht="14.25" customHeight="1" x14ac:dyDescent="0.3">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2:29" ht="14.25" customHeight="1" x14ac:dyDescent="0.3">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2:29" ht="14.25" customHeight="1" x14ac:dyDescent="0.3">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2:29" ht="14.25" customHeight="1" x14ac:dyDescent="0.3">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2:29" ht="14.25" customHeight="1" x14ac:dyDescent="0.3">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2:29" ht="14.25" customHeight="1" x14ac:dyDescent="0.3">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2:29" ht="14.25" customHeight="1" x14ac:dyDescent="0.3">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2:29" ht="14.25" customHeight="1" x14ac:dyDescent="0.3">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2:29" ht="14.25" customHeight="1" x14ac:dyDescent="0.3">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2:29" ht="14.25" customHeight="1" x14ac:dyDescent="0.3">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2:29" ht="14.25" customHeight="1" x14ac:dyDescent="0.3">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2:29" ht="14.25" customHeight="1" x14ac:dyDescent="0.3">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2:29" ht="14.25" customHeight="1" x14ac:dyDescent="0.3">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2:29" ht="14.25" customHeight="1" x14ac:dyDescent="0.3">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2:29" ht="14.25" customHeight="1" x14ac:dyDescent="0.3">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2:29" ht="14.25" customHeight="1" x14ac:dyDescent="0.3">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2:29" ht="14.25" customHeight="1" x14ac:dyDescent="0.3">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2:29" ht="14.25" customHeight="1" x14ac:dyDescent="0.3">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2:29" ht="14.25" customHeight="1" x14ac:dyDescent="0.3">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2:29" ht="14.25" customHeight="1" x14ac:dyDescent="0.3">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2:29" ht="14.25" customHeight="1" x14ac:dyDescent="0.3">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2:29" ht="14.25" customHeight="1" x14ac:dyDescent="0.3">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2:29" ht="14.25" customHeight="1" x14ac:dyDescent="0.3">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2:29" ht="14.25" customHeight="1" x14ac:dyDescent="0.3">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2:29" ht="14.25" customHeight="1" x14ac:dyDescent="0.3">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2:29" ht="14.25" customHeight="1" x14ac:dyDescent="0.3">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2:29" ht="14.25" customHeight="1" x14ac:dyDescent="0.3">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2:29" ht="14.25" customHeight="1" x14ac:dyDescent="0.3">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2:29" ht="14.25" customHeight="1" x14ac:dyDescent="0.3">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2:29" ht="14.25" customHeight="1" x14ac:dyDescent="0.3">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2:29" ht="14.25" customHeight="1" x14ac:dyDescent="0.3">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2:29" ht="14.25" customHeight="1" x14ac:dyDescent="0.3">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2:29" ht="14.25" customHeight="1" x14ac:dyDescent="0.3">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2:29" ht="14.25" customHeight="1" x14ac:dyDescent="0.3">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2:29" ht="14.25" customHeight="1" x14ac:dyDescent="0.3">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2:29" ht="14.25" customHeight="1" x14ac:dyDescent="0.3">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2:29" ht="14.25" customHeight="1" x14ac:dyDescent="0.3">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2:29" ht="14.25" customHeight="1" x14ac:dyDescent="0.3">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2:29" ht="14.25" customHeight="1" x14ac:dyDescent="0.3">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2:29" ht="14.25" customHeight="1" x14ac:dyDescent="0.3">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2:29" ht="14.25" customHeight="1" x14ac:dyDescent="0.3">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2:29" ht="14.25" customHeight="1" x14ac:dyDescent="0.3">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2:29" ht="14.25" customHeight="1" x14ac:dyDescent="0.3">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2:29" ht="14.25" customHeight="1" x14ac:dyDescent="0.3">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2:29" ht="14.25" customHeight="1" x14ac:dyDescent="0.3">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2:29" ht="14.25" customHeight="1" x14ac:dyDescent="0.3">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2:29" ht="14.25" customHeight="1" x14ac:dyDescent="0.3">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2:29" ht="14.25" customHeight="1" x14ac:dyDescent="0.3">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2:29" ht="14.25" customHeight="1" x14ac:dyDescent="0.3">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2:29" ht="14.25" customHeight="1" x14ac:dyDescent="0.3">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2:29" ht="14.25" customHeight="1" x14ac:dyDescent="0.3">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2:29" ht="14.25" customHeight="1" x14ac:dyDescent="0.3">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2:29" ht="14.25" customHeight="1" x14ac:dyDescent="0.3">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2:29" ht="14.25" customHeight="1" x14ac:dyDescent="0.3">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2:29" ht="14.25" customHeight="1" x14ac:dyDescent="0.3">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2:29" ht="14.25" customHeight="1" x14ac:dyDescent="0.3">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2:29" ht="14.25" customHeight="1" x14ac:dyDescent="0.3">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2:29" ht="14.25" customHeight="1" x14ac:dyDescent="0.3">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2:29" ht="14.25" customHeight="1" x14ac:dyDescent="0.3">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2:29" ht="14.25" customHeight="1" x14ac:dyDescent="0.3">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2:29" ht="14.25" customHeight="1" x14ac:dyDescent="0.3">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2:29" ht="14.25" customHeight="1" x14ac:dyDescent="0.3">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2:29" ht="14.25" customHeight="1" x14ac:dyDescent="0.3">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2:29" ht="14.25" customHeight="1" x14ac:dyDescent="0.3">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2:29" ht="14.25" customHeight="1" x14ac:dyDescent="0.3">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2:29" ht="14.25" customHeight="1" x14ac:dyDescent="0.3">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2:29" ht="14.25" customHeight="1" x14ac:dyDescent="0.3">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2:29" ht="14.25" customHeight="1" x14ac:dyDescent="0.3">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2:29" ht="14.25" customHeight="1" x14ac:dyDescent="0.3">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2:29" ht="14.25" customHeight="1" x14ac:dyDescent="0.3">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2:29" ht="14.25" customHeight="1" x14ac:dyDescent="0.3">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2:29" ht="14.25" customHeight="1" x14ac:dyDescent="0.3">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2:29" ht="14.25" customHeight="1" x14ac:dyDescent="0.3">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2:29" ht="14.25" customHeight="1" x14ac:dyDescent="0.3">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2:29" ht="14.25" customHeight="1" x14ac:dyDescent="0.3">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2:29" ht="14.25" customHeight="1" x14ac:dyDescent="0.3">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2:29" ht="14.25" customHeight="1" x14ac:dyDescent="0.3">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2:29" ht="14.25" customHeight="1" x14ac:dyDescent="0.3">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2:29" ht="14.25" customHeight="1" x14ac:dyDescent="0.3">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2:29" ht="14.25" customHeight="1" x14ac:dyDescent="0.3">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2:29" ht="14.25" customHeight="1" x14ac:dyDescent="0.3">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2:29" ht="14.25" customHeight="1" x14ac:dyDescent="0.3">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2:29" ht="14.25" customHeight="1" x14ac:dyDescent="0.3">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2:29" ht="14.25" customHeight="1" x14ac:dyDescent="0.3">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2:29" ht="14.25" customHeight="1" x14ac:dyDescent="0.3">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2:29" ht="14.25" customHeight="1" x14ac:dyDescent="0.3">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2:29" ht="14.25" customHeight="1" x14ac:dyDescent="0.3">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2:29" ht="14.25" customHeight="1" x14ac:dyDescent="0.3">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2:29" ht="14.25" customHeight="1" x14ac:dyDescent="0.3">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2:29" ht="14.25" customHeight="1" x14ac:dyDescent="0.3">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2:29" ht="14.25" customHeight="1" x14ac:dyDescent="0.3">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2:29" ht="14.25" customHeight="1" x14ac:dyDescent="0.3">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2:29" ht="14.25" customHeight="1" x14ac:dyDescent="0.3">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2:29" ht="14.25" customHeight="1" x14ac:dyDescent="0.3">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2:29" ht="14.25" customHeight="1" x14ac:dyDescent="0.3">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2:29" ht="14.25" customHeight="1" x14ac:dyDescent="0.3">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2:29" ht="14.25" customHeight="1" x14ac:dyDescent="0.3">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2:29" ht="14.25" customHeight="1" x14ac:dyDescent="0.3">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2:29" ht="14.25" customHeight="1" x14ac:dyDescent="0.3">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2:29" ht="14.25" customHeight="1" x14ac:dyDescent="0.3">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2:29" ht="14.25" customHeight="1" x14ac:dyDescent="0.3">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2:29" ht="14.25" customHeight="1" x14ac:dyDescent="0.3">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2:29" ht="14.25" customHeight="1" x14ac:dyDescent="0.3">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2:29" ht="14.25" customHeight="1" x14ac:dyDescent="0.3">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2:29" ht="14.25" customHeight="1" x14ac:dyDescent="0.3">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2:29" ht="14.25" customHeight="1" x14ac:dyDescent="0.3">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2:29" ht="14.25" customHeight="1" x14ac:dyDescent="0.3">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2:29" ht="14.25" customHeight="1" x14ac:dyDescent="0.3">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2:29" ht="14.25" customHeight="1" x14ac:dyDescent="0.3">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2:29" ht="14.25" customHeight="1" x14ac:dyDescent="0.3">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2:29" ht="14.25" customHeight="1" x14ac:dyDescent="0.3">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2:29" ht="14.25" customHeight="1" x14ac:dyDescent="0.3">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2:29" ht="14.25" customHeight="1" x14ac:dyDescent="0.3">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2:29" ht="14.25" customHeight="1" x14ac:dyDescent="0.3">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2:29" ht="14.25" customHeight="1" x14ac:dyDescent="0.3">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2:29" ht="14.25" customHeight="1" x14ac:dyDescent="0.3">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2:29" ht="14.25" customHeight="1" x14ac:dyDescent="0.3">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2:29" ht="14.25" customHeight="1" x14ac:dyDescent="0.3">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2:29" ht="14.25" customHeight="1" x14ac:dyDescent="0.3">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2:29" ht="14.25" customHeight="1" x14ac:dyDescent="0.3">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2:29" ht="14.25" customHeight="1" x14ac:dyDescent="0.3">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2:29" ht="14.25" customHeight="1" x14ac:dyDescent="0.3">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2:29" ht="14.25" customHeight="1" x14ac:dyDescent="0.3">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2:29" ht="14.25" customHeight="1" x14ac:dyDescent="0.3">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2:29" ht="14.25" customHeight="1" x14ac:dyDescent="0.3">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2:29" ht="14.25" customHeight="1" x14ac:dyDescent="0.3">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2:29" ht="14.25" customHeight="1" x14ac:dyDescent="0.3">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2:29" ht="14.25" customHeight="1" x14ac:dyDescent="0.3">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2:29" ht="14.25" customHeight="1" x14ac:dyDescent="0.3">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2:29" ht="14.25" customHeight="1" x14ac:dyDescent="0.3">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2:29" ht="14.25" customHeight="1" x14ac:dyDescent="0.3">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2:29" ht="14.25" customHeight="1" x14ac:dyDescent="0.3">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2:29" ht="14.25" customHeight="1" x14ac:dyDescent="0.3">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2:29" ht="14.25" customHeight="1" x14ac:dyDescent="0.3">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2:29" ht="14.25" customHeight="1" x14ac:dyDescent="0.3">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2:29" ht="14.25" customHeight="1" x14ac:dyDescent="0.3">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2:29" ht="14.25" customHeight="1" x14ac:dyDescent="0.3">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2:29" ht="14.25" customHeight="1" x14ac:dyDescent="0.3">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2:29" ht="14.25" customHeight="1" x14ac:dyDescent="0.3">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2:29" ht="14.25" customHeight="1" x14ac:dyDescent="0.3">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2:29" ht="14.25" customHeight="1" x14ac:dyDescent="0.3">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2:29" ht="14.25" customHeight="1" x14ac:dyDescent="0.3">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2:29" ht="14.25" customHeight="1" x14ac:dyDescent="0.3">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2:29" ht="14.25" customHeight="1" x14ac:dyDescent="0.3">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2:29" ht="14.25" customHeight="1" x14ac:dyDescent="0.3">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2:29" ht="14.25" customHeight="1" x14ac:dyDescent="0.3">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2:29" ht="14.25" customHeight="1" x14ac:dyDescent="0.3">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2:29" ht="14.25" customHeight="1" x14ac:dyDescent="0.3">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2:29" ht="14.25" customHeight="1" x14ac:dyDescent="0.3">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2:29" ht="14.25" customHeight="1" x14ac:dyDescent="0.3">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2:29" ht="14.25" customHeight="1" x14ac:dyDescent="0.3">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2:29" ht="14.25" customHeight="1" x14ac:dyDescent="0.3">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2:29" ht="14.25" customHeight="1" x14ac:dyDescent="0.3">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2:29" ht="14.25" customHeight="1" x14ac:dyDescent="0.3">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2:29" ht="14.25" customHeight="1" x14ac:dyDescent="0.3">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2:29" ht="14.25" customHeight="1" x14ac:dyDescent="0.3">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2:29" ht="14.25" customHeight="1" x14ac:dyDescent="0.3">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2:29" ht="14.25" customHeight="1" x14ac:dyDescent="0.3">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2:29" ht="14.25" customHeight="1" x14ac:dyDescent="0.3">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2:29" ht="14.25" customHeight="1" x14ac:dyDescent="0.3">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2:29" ht="14.25" customHeight="1" x14ac:dyDescent="0.3">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2:29" ht="14.25" customHeight="1" x14ac:dyDescent="0.3">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2:29" ht="14.25" customHeight="1" x14ac:dyDescent="0.3">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2:29" ht="14.25" customHeight="1" x14ac:dyDescent="0.3">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2:29" ht="14.25" customHeight="1" x14ac:dyDescent="0.3">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2:29" ht="14.25" customHeight="1" x14ac:dyDescent="0.3">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2:29" ht="14.25" customHeight="1" x14ac:dyDescent="0.3">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2:29" ht="14.25" customHeight="1" x14ac:dyDescent="0.3">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2:29" ht="14.25" customHeight="1" x14ac:dyDescent="0.3">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2:29" ht="14.25" customHeight="1" x14ac:dyDescent="0.3">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2:29" ht="14.25" customHeight="1" x14ac:dyDescent="0.3">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2:29" ht="14.25" customHeight="1" x14ac:dyDescent="0.3">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2:29" ht="14.25" customHeight="1" x14ac:dyDescent="0.3">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2:29" ht="14.25" customHeight="1" x14ac:dyDescent="0.3">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2:29" ht="14.25" customHeight="1" x14ac:dyDescent="0.3">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2:29" ht="14.25" customHeight="1" x14ac:dyDescent="0.3">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2:29" ht="14.25" customHeight="1" x14ac:dyDescent="0.3">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2:29" ht="14.25" customHeight="1" x14ac:dyDescent="0.3">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2:29" ht="14.25" customHeight="1" x14ac:dyDescent="0.3">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2:29" ht="14.25" customHeight="1" x14ac:dyDescent="0.3">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2:29" ht="14.25" customHeight="1" x14ac:dyDescent="0.3">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2:29" ht="14.25" customHeight="1" x14ac:dyDescent="0.3">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2:29" ht="14.25" customHeight="1" x14ac:dyDescent="0.3">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2:29" ht="14.25" customHeight="1" x14ac:dyDescent="0.3">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2:29" ht="14.25" customHeight="1" x14ac:dyDescent="0.3">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2:29" ht="14.25" customHeight="1" x14ac:dyDescent="0.3">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2:29" ht="14.25" customHeight="1" x14ac:dyDescent="0.3">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2:29" ht="14.25" customHeight="1" x14ac:dyDescent="0.3">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2:29" ht="14.25" customHeight="1" x14ac:dyDescent="0.3">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2:29" ht="14.25" customHeight="1" x14ac:dyDescent="0.3">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2:29" ht="14.25" customHeight="1" x14ac:dyDescent="0.3">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2:29" ht="14.25" customHeight="1" x14ac:dyDescent="0.3">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2:29" ht="14.25" customHeight="1" x14ac:dyDescent="0.3">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2:29" ht="14.25" customHeight="1" x14ac:dyDescent="0.3">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2:29" ht="14.25" customHeight="1" x14ac:dyDescent="0.3">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2:29" ht="14.25" customHeight="1" x14ac:dyDescent="0.3">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2:29" ht="14.25" customHeight="1" x14ac:dyDescent="0.3">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2:29" ht="14.25" customHeight="1" x14ac:dyDescent="0.3">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2:29" ht="14.25" customHeight="1" x14ac:dyDescent="0.3">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2:29" ht="14.25" customHeight="1" x14ac:dyDescent="0.3">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2:29" ht="14.25" customHeight="1" x14ac:dyDescent="0.3">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2:29" ht="14.25" customHeight="1" x14ac:dyDescent="0.3">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2:29" ht="14.25" customHeight="1" x14ac:dyDescent="0.3">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2:29" ht="14.25" customHeight="1" x14ac:dyDescent="0.3">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2:29" ht="14.25" customHeight="1" x14ac:dyDescent="0.3">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2:29" ht="14.25" customHeight="1" x14ac:dyDescent="0.3">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2:29" ht="14.25" customHeight="1" x14ac:dyDescent="0.3">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2:29" ht="14.25" customHeight="1" x14ac:dyDescent="0.3">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2:29" ht="14.25" customHeight="1" x14ac:dyDescent="0.3">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2:29" ht="14.25" customHeight="1" x14ac:dyDescent="0.3">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2:29" ht="14.25" customHeight="1" x14ac:dyDescent="0.3">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2:29" ht="14.25" customHeight="1" x14ac:dyDescent="0.3">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2:29" ht="14.25" customHeight="1" x14ac:dyDescent="0.3">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2:29" ht="14.25" customHeight="1" x14ac:dyDescent="0.3">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2:29" ht="14.25" customHeight="1" x14ac:dyDescent="0.3">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2:29" ht="14.25" customHeight="1" x14ac:dyDescent="0.3">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2:29" ht="14.25" customHeight="1" x14ac:dyDescent="0.3">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2:29" ht="14.25" customHeight="1" x14ac:dyDescent="0.3">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2:29" ht="14.25" customHeight="1" x14ac:dyDescent="0.3">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2:29" ht="14.25" customHeight="1" x14ac:dyDescent="0.3">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2:29" ht="14.25" customHeight="1" x14ac:dyDescent="0.3">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2:29" ht="14.25" customHeight="1" x14ac:dyDescent="0.3">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2:29" ht="14.25" customHeight="1" x14ac:dyDescent="0.3">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2:29" ht="14.25" customHeight="1" x14ac:dyDescent="0.3">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2:29" ht="14.25" customHeight="1" x14ac:dyDescent="0.3">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2:29" ht="14.25" customHeight="1" x14ac:dyDescent="0.3">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2:29" ht="14.25" customHeight="1" x14ac:dyDescent="0.3">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2:29" ht="14.25" customHeight="1" x14ac:dyDescent="0.3">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2:29" ht="14.25" customHeight="1" x14ac:dyDescent="0.3">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2:29" ht="14.25" customHeight="1" x14ac:dyDescent="0.3">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2:29" ht="14.25" customHeight="1" x14ac:dyDescent="0.3">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2:29" ht="14.25" customHeight="1" x14ac:dyDescent="0.3">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2:29" ht="14.25" customHeight="1" x14ac:dyDescent="0.3">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2:29" ht="14.25" customHeight="1" x14ac:dyDescent="0.3">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2:29" ht="14.25" customHeight="1" x14ac:dyDescent="0.3">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2:29" ht="14.25" customHeight="1" x14ac:dyDescent="0.3">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2:29" ht="14.25" customHeight="1" x14ac:dyDescent="0.3">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2:29" ht="14.25" customHeight="1" x14ac:dyDescent="0.3">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2:29" ht="14.25" customHeight="1" x14ac:dyDescent="0.3">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2:29" ht="14.25" customHeight="1" x14ac:dyDescent="0.3">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2:29" ht="14.25" customHeight="1" x14ac:dyDescent="0.3">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2:29" ht="14.25" customHeight="1" x14ac:dyDescent="0.3">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2:29" ht="14.25" customHeight="1" x14ac:dyDescent="0.3">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2:29" ht="14.25" customHeight="1" x14ac:dyDescent="0.3">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2:29" ht="14.25" customHeight="1" x14ac:dyDescent="0.3">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2:29" ht="14.25" customHeight="1" x14ac:dyDescent="0.3">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2:29" ht="14.25" customHeight="1" x14ac:dyDescent="0.3">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2:29" ht="14.25" customHeight="1" x14ac:dyDescent="0.3">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2:29" ht="14.25" customHeight="1" x14ac:dyDescent="0.3">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2:29" ht="14.25" customHeight="1" x14ac:dyDescent="0.3">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2:29" ht="14.25" customHeight="1" x14ac:dyDescent="0.3">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2:29" ht="14.25" customHeight="1" x14ac:dyDescent="0.3">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2:29" ht="14.25" customHeight="1" x14ac:dyDescent="0.3">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2:29" ht="14.25" customHeight="1" x14ac:dyDescent="0.3">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2:29" ht="14.25" customHeight="1" x14ac:dyDescent="0.3">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2:29" ht="14.25" customHeight="1" x14ac:dyDescent="0.3">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2:29" ht="14.25" customHeight="1" x14ac:dyDescent="0.3">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2:29" ht="14.25" customHeight="1" x14ac:dyDescent="0.3">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2:29" ht="14.25" customHeight="1" x14ac:dyDescent="0.3">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2:29" ht="14.25" customHeight="1" x14ac:dyDescent="0.3">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2:29" ht="14.25" customHeight="1" x14ac:dyDescent="0.3">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2:29" ht="14.25" customHeight="1" x14ac:dyDescent="0.3">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2:29" ht="14.25" customHeight="1" x14ac:dyDescent="0.3">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2:29" ht="14.25" customHeight="1" x14ac:dyDescent="0.3">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2:29" ht="14.25" customHeight="1" x14ac:dyDescent="0.3">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2:29" ht="14.25" customHeight="1" x14ac:dyDescent="0.3">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2:29" ht="14.25" customHeight="1" x14ac:dyDescent="0.3">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2:29" ht="14.25" customHeight="1" x14ac:dyDescent="0.3">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2:29" ht="14.25" customHeight="1" x14ac:dyDescent="0.3">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2:29" ht="14.25" customHeight="1" x14ac:dyDescent="0.3">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2:29" ht="14.25" customHeight="1" x14ac:dyDescent="0.3">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2:29" ht="14.25" customHeight="1" x14ac:dyDescent="0.3">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2:29" ht="14.25" customHeight="1" x14ac:dyDescent="0.3">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2:29" ht="14.25" customHeight="1" x14ac:dyDescent="0.3">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2:29" ht="14.25" customHeight="1" x14ac:dyDescent="0.3">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2:29" ht="14.25" customHeight="1" x14ac:dyDescent="0.3">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2:29" ht="14.25" customHeight="1" x14ac:dyDescent="0.3">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2:29" ht="14.25" customHeight="1" x14ac:dyDescent="0.3">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2:29" ht="14.25" customHeight="1" x14ac:dyDescent="0.3">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2:29" ht="14.25" customHeight="1" x14ac:dyDescent="0.3">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2:29" ht="14.25" customHeight="1" x14ac:dyDescent="0.3">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2:29" ht="14.25" customHeight="1" x14ac:dyDescent="0.3">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2:29" ht="14.25" customHeight="1" x14ac:dyDescent="0.3">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2:29" ht="14.25" customHeight="1" x14ac:dyDescent="0.3">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2:29" ht="14.25" customHeight="1" x14ac:dyDescent="0.3">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2:29" ht="14.25" customHeight="1" x14ac:dyDescent="0.3">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2:29" ht="14.25" customHeight="1" x14ac:dyDescent="0.3">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2:29" ht="14.25" customHeight="1" x14ac:dyDescent="0.3">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2:29" ht="14.25" customHeight="1" x14ac:dyDescent="0.3">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2:29" ht="14.25" customHeight="1" x14ac:dyDescent="0.3">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2:29" ht="14.25" customHeight="1" x14ac:dyDescent="0.3">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2:29" ht="14.25" customHeight="1" x14ac:dyDescent="0.3">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2:29" ht="14.25" customHeight="1" x14ac:dyDescent="0.3">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2:29" ht="14.25" customHeight="1" x14ac:dyDescent="0.3">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2:29" ht="14.25" customHeight="1" x14ac:dyDescent="0.3">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2:29" ht="14.25" customHeight="1" x14ac:dyDescent="0.3">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2:29" ht="14.25" customHeight="1" x14ac:dyDescent="0.3">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2:29" ht="14.25" customHeight="1" x14ac:dyDescent="0.3">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2:29" ht="14.25" customHeight="1" x14ac:dyDescent="0.3">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2:29" ht="14.25" customHeight="1" x14ac:dyDescent="0.3">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2:29" ht="14.25" customHeight="1" x14ac:dyDescent="0.3">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2:29" ht="14.25" customHeight="1" x14ac:dyDescent="0.3">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2:29" ht="14.25" customHeight="1" x14ac:dyDescent="0.3">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2:29" ht="14.25" customHeight="1" x14ac:dyDescent="0.3">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2:29" ht="14.25" customHeight="1" x14ac:dyDescent="0.3">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2:29" ht="14.25" customHeight="1" x14ac:dyDescent="0.3">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2:29" ht="14.25" customHeight="1" x14ac:dyDescent="0.3">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2:29" ht="14.25" customHeight="1" x14ac:dyDescent="0.3">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2:29" ht="14.25" customHeight="1" x14ac:dyDescent="0.3">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2:29" ht="14.25" customHeight="1" x14ac:dyDescent="0.3">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2:29" ht="14.25" customHeight="1" x14ac:dyDescent="0.3">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2:29" ht="14.25" customHeight="1" x14ac:dyDescent="0.3">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2:29" ht="14.25" customHeight="1" x14ac:dyDescent="0.3">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2:29" ht="14.25" customHeight="1" x14ac:dyDescent="0.3">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2:29" ht="14.25" customHeight="1" x14ac:dyDescent="0.3">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2:29" ht="14.25" customHeight="1" x14ac:dyDescent="0.3">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2:29" ht="14.25" customHeight="1" x14ac:dyDescent="0.3">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2:29" ht="14.25" customHeight="1" x14ac:dyDescent="0.3">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2:29" ht="14.25" customHeight="1" x14ac:dyDescent="0.3">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2:29" ht="14.25" customHeight="1" x14ac:dyDescent="0.3">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2:29" ht="14.25" customHeight="1" x14ac:dyDescent="0.3">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2:29" ht="14.25" customHeight="1" x14ac:dyDescent="0.3">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2:29" ht="14.25" customHeight="1" x14ac:dyDescent="0.3">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2:29" ht="14.25" customHeight="1" x14ac:dyDescent="0.3">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2:29" ht="14.25" customHeight="1" x14ac:dyDescent="0.3">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2:29" ht="14.25" customHeight="1" x14ac:dyDescent="0.3">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2:29" ht="14.25" customHeight="1" x14ac:dyDescent="0.3">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2:29" ht="14.25" customHeight="1" x14ac:dyDescent="0.3">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2:29" ht="14.25" customHeight="1" x14ac:dyDescent="0.3">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2:29" ht="14.25" customHeight="1" x14ac:dyDescent="0.3">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2:29" ht="14.25" customHeight="1" x14ac:dyDescent="0.3">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2:29" ht="14.25" customHeight="1" x14ac:dyDescent="0.3">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2:29" ht="14.25" customHeight="1" x14ac:dyDescent="0.3">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2:29" ht="14.25" customHeight="1" x14ac:dyDescent="0.3">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2:29" ht="14.25" customHeight="1" x14ac:dyDescent="0.3">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2:29" ht="14.25" customHeight="1" x14ac:dyDescent="0.3">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2:29" ht="14.25" customHeight="1" x14ac:dyDescent="0.3">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2:29" ht="14.25" customHeight="1" x14ac:dyDescent="0.3">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2:29" ht="14.25" customHeight="1" x14ac:dyDescent="0.3">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2:29" ht="14.25" customHeight="1" x14ac:dyDescent="0.3">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2:29" ht="14.25" customHeight="1" x14ac:dyDescent="0.3">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2:29" ht="14.25" customHeight="1" x14ac:dyDescent="0.3">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2:29" ht="14.25" customHeight="1" x14ac:dyDescent="0.3">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2:29" ht="14.25" customHeight="1" x14ac:dyDescent="0.3">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2:29" ht="14.25" customHeight="1" x14ac:dyDescent="0.3">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2:29" ht="14.25" customHeight="1" x14ac:dyDescent="0.3">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2:29" ht="14.25" customHeight="1" x14ac:dyDescent="0.3">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2:29" ht="14.25" customHeight="1" x14ac:dyDescent="0.3">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2:29" ht="14.25" customHeight="1" x14ac:dyDescent="0.3">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2:29" ht="14.25" customHeight="1" x14ac:dyDescent="0.3">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2:29" ht="14.25" customHeight="1" x14ac:dyDescent="0.3">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2:29" ht="14.25" customHeight="1" x14ac:dyDescent="0.3">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2:29" ht="14.25" customHeight="1" x14ac:dyDescent="0.3">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2:29" ht="14.25" customHeight="1" x14ac:dyDescent="0.3">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2:29" ht="14.25" customHeight="1" x14ac:dyDescent="0.3">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2:29" ht="14.25" customHeight="1" x14ac:dyDescent="0.3">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2:29" ht="14.25" customHeight="1" x14ac:dyDescent="0.3">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2:29" ht="14.25" customHeight="1" x14ac:dyDescent="0.3">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2:29" ht="14.25" customHeight="1" x14ac:dyDescent="0.3">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2:29" ht="14.25" customHeight="1" x14ac:dyDescent="0.3">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2:29" ht="14.25" customHeight="1" x14ac:dyDescent="0.3">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2:29" ht="14.25" customHeight="1" x14ac:dyDescent="0.3">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2:29" ht="14.25" customHeight="1" x14ac:dyDescent="0.3">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2:29" ht="14.25" customHeight="1" x14ac:dyDescent="0.3">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2:29" ht="14.25" customHeight="1" x14ac:dyDescent="0.3">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2:29" ht="14.25" customHeight="1" x14ac:dyDescent="0.3">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2:29" ht="14.25" customHeight="1" x14ac:dyDescent="0.3">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2:29" ht="14.25" customHeight="1" x14ac:dyDescent="0.3">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2:29" ht="14.25" customHeight="1" x14ac:dyDescent="0.3">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2:29" ht="14.25" customHeight="1" x14ac:dyDescent="0.3">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2:29" ht="14.25" customHeight="1" x14ac:dyDescent="0.3">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2:29" ht="14.25" customHeight="1" x14ac:dyDescent="0.3">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2:29" ht="14.25" customHeight="1" x14ac:dyDescent="0.3">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2:29" ht="14.25" customHeight="1" x14ac:dyDescent="0.3">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2:29" ht="14.25" customHeight="1" x14ac:dyDescent="0.3">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2:29" ht="14.25" customHeight="1" x14ac:dyDescent="0.3">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2:29" ht="14.25" customHeight="1" x14ac:dyDescent="0.3">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2:29" ht="14.25" customHeight="1" x14ac:dyDescent="0.3">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2:29" ht="14.25" customHeight="1" x14ac:dyDescent="0.3">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2:29" ht="14.25" customHeight="1" x14ac:dyDescent="0.3">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2:29" ht="14.25" customHeight="1" x14ac:dyDescent="0.3">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2:29" ht="14.25" customHeight="1" x14ac:dyDescent="0.3">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2:29" ht="14.25" customHeight="1" x14ac:dyDescent="0.3">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2:29" ht="14.25" customHeight="1" x14ac:dyDescent="0.3">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2:29" ht="14.25" customHeight="1" x14ac:dyDescent="0.3">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2:29" ht="14.25" customHeight="1" x14ac:dyDescent="0.3">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2:29" ht="14.25" customHeight="1" x14ac:dyDescent="0.3">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2:29" ht="14.25" customHeight="1" x14ac:dyDescent="0.3">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2:29" ht="14.25" customHeight="1" x14ac:dyDescent="0.3">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2:29" ht="14.25" customHeight="1" x14ac:dyDescent="0.3">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2:29" ht="14.25" customHeight="1" x14ac:dyDescent="0.3">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2:29" ht="14.25" customHeight="1" x14ac:dyDescent="0.3">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2:29" ht="14.25" customHeight="1" x14ac:dyDescent="0.3">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2:29" ht="14.25" customHeight="1" x14ac:dyDescent="0.3">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2:29" ht="14.25" customHeight="1" x14ac:dyDescent="0.3">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2:29" ht="14.25" customHeight="1" x14ac:dyDescent="0.3">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2:29" ht="14.25" customHeight="1" x14ac:dyDescent="0.3">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2:29" ht="14.25" customHeight="1" x14ac:dyDescent="0.3">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2:29" ht="14.25" customHeight="1" x14ac:dyDescent="0.3">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2:29" ht="14.25" customHeight="1" x14ac:dyDescent="0.3">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2:29" ht="14.25" customHeight="1" x14ac:dyDescent="0.3">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2:29" ht="14.25" customHeight="1" x14ac:dyDescent="0.3">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2:29" ht="14.25" customHeight="1" x14ac:dyDescent="0.3">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2:29" ht="14.25" customHeight="1" x14ac:dyDescent="0.3">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2:29" ht="14.25" customHeight="1" x14ac:dyDescent="0.3">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2:29" ht="14.25" customHeight="1" x14ac:dyDescent="0.3">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2:29" ht="14.25" customHeight="1" x14ac:dyDescent="0.3">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2:29" ht="14.25" customHeight="1" x14ac:dyDescent="0.3">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2:29" ht="14.25" customHeight="1" x14ac:dyDescent="0.3">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2:29" ht="14.25" customHeight="1" x14ac:dyDescent="0.3">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2:29" ht="14.25" customHeight="1" x14ac:dyDescent="0.3">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2:29" ht="14.25" customHeight="1" x14ac:dyDescent="0.3">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2:29" ht="14.25" customHeight="1" x14ac:dyDescent="0.3">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2:29" ht="14.25" customHeight="1" x14ac:dyDescent="0.3">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2:29" ht="14.25" customHeight="1" x14ac:dyDescent="0.3">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2:29" ht="14.25" customHeight="1" x14ac:dyDescent="0.3">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2:29" ht="14.25" customHeight="1" x14ac:dyDescent="0.3">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2:29" ht="14.25" customHeight="1" x14ac:dyDescent="0.3">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2:29" ht="14.25" customHeight="1" x14ac:dyDescent="0.3">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2:29" ht="14.25" customHeight="1" x14ac:dyDescent="0.3">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2:29" ht="14.25" customHeight="1" x14ac:dyDescent="0.3">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2:29" ht="14.25" customHeight="1" x14ac:dyDescent="0.3">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2:29" ht="14.25" customHeight="1" x14ac:dyDescent="0.3">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2:29" ht="14.25" customHeight="1" x14ac:dyDescent="0.3">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2:29" ht="14.25" customHeight="1" x14ac:dyDescent="0.3">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2:29" ht="14.25" customHeight="1" x14ac:dyDescent="0.3">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2:29" ht="14.25" customHeight="1" x14ac:dyDescent="0.3">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2:29" ht="14.25" customHeight="1" x14ac:dyDescent="0.3">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2:29" ht="14.25" customHeight="1" x14ac:dyDescent="0.3">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2:29" ht="14.25" customHeight="1" x14ac:dyDescent="0.3">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2:29" ht="14.25" customHeight="1" x14ac:dyDescent="0.3">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2:29" ht="14.25" customHeight="1" x14ac:dyDescent="0.3">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2:29" ht="14.25" customHeight="1" x14ac:dyDescent="0.3">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2:29" ht="14.25" customHeight="1" x14ac:dyDescent="0.3">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2:29" ht="14.25" customHeight="1" x14ac:dyDescent="0.3">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2:29" ht="14.25" customHeight="1" x14ac:dyDescent="0.3">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2:29" ht="14.25" customHeight="1" x14ac:dyDescent="0.3">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2:29" ht="14.25" customHeight="1" x14ac:dyDescent="0.3">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2:29" ht="14.25" customHeight="1" x14ac:dyDescent="0.3">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2:29" ht="14.25" customHeight="1" x14ac:dyDescent="0.3">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2:29" ht="14.25" customHeight="1" x14ac:dyDescent="0.3">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2:29" ht="14.25" customHeight="1" x14ac:dyDescent="0.3">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2:29" ht="14.25" customHeight="1" x14ac:dyDescent="0.3">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2:29" ht="14.25" customHeight="1" x14ac:dyDescent="0.3">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2:29" ht="14.25" customHeight="1" x14ac:dyDescent="0.3">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2:29" ht="14.25" customHeight="1" x14ac:dyDescent="0.3">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2:29" ht="14.25" customHeight="1" x14ac:dyDescent="0.3">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2:29" ht="14.25" customHeight="1" x14ac:dyDescent="0.3">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2:29" ht="14.25" customHeight="1" x14ac:dyDescent="0.3">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2:29" ht="14.25" customHeight="1" x14ac:dyDescent="0.3">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2:29" ht="14.25" customHeight="1" x14ac:dyDescent="0.3">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2:29" ht="14.25" customHeight="1" x14ac:dyDescent="0.3">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2:29" ht="14.25" customHeight="1" x14ac:dyDescent="0.3">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2:29" ht="14.25" customHeight="1" x14ac:dyDescent="0.3">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2:29" ht="14.25" customHeight="1" x14ac:dyDescent="0.3">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2:29" ht="14.25" customHeight="1" x14ac:dyDescent="0.3">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2:29" ht="14.25" customHeight="1" x14ac:dyDescent="0.3">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2:29" ht="14.25" customHeight="1" x14ac:dyDescent="0.3">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2:29" ht="14.25" customHeight="1" x14ac:dyDescent="0.3">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2:29" ht="14.25" customHeight="1" x14ac:dyDescent="0.3">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2:29" ht="14.25" customHeight="1" x14ac:dyDescent="0.3">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2:29" ht="14.25" customHeight="1" x14ac:dyDescent="0.3">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2:29" ht="14.25" customHeight="1" x14ac:dyDescent="0.3">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2:29" ht="14.25" customHeight="1" x14ac:dyDescent="0.3">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2:29" ht="14.25" customHeight="1" x14ac:dyDescent="0.3">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2:29" ht="14.25" customHeight="1" x14ac:dyDescent="0.3">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2:29" ht="14.25" customHeight="1" x14ac:dyDescent="0.3">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2:29" ht="14.25" customHeight="1" x14ac:dyDescent="0.3">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2:29" ht="14.25" customHeight="1" x14ac:dyDescent="0.3">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2:29" ht="14.25" customHeight="1" x14ac:dyDescent="0.3">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2:29" ht="14.25" customHeight="1" x14ac:dyDescent="0.3">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2:29" ht="14.25" customHeight="1" x14ac:dyDescent="0.3">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2:29" ht="14.25" customHeight="1" x14ac:dyDescent="0.3">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2:29" ht="14.25" customHeight="1" x14ac:dyDescent="0.3">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2:29" ht="14.25" customHeight="1" x14ac:dyDescent="0.3">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2:29" ht="14.25" customHeight="1" x14ac:dyDescent="0.3">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2:29" ht="14.25" customHeight="1" x14ac:dyDescent="0.3">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2:29" ht="14.25" customHeight="1" x14ac:dyDescent="0.3">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2:29" ht="14.25" customHeight="1" x14ac:dyDescent="0.3">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2:29" ht="14.25" customHeight="1" x14ac:dyDescent="0.3">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2:29" ht="14.25" customHeight="1" x14ac:dyDescent="0.3">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2:29" ht="14.25" customHeight="1" x14ac:dyDescent="0.3">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2:29" ht="14.25" customHeight="1" x14ac:dyDescent="0.3">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2:29" ht="14.25" customHeight="1" x14ac:dyDescent="0.3">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2:29" ht="14.25" customHeight="1" x14ac:dyDescent="0.3">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2:29" ht="14.25" customHeight="1" x14ac:dyDescent="0.3">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2:29" ht="14.25" customHeight="1" x14ac:dyDescent="0.3">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2:29" ht="14.25" customHeight="1" x14ac:dyDescent="0.3">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2:29" ht="14.25" customHeight="1" x14ac:dyDescent="0.3">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2:29" ht="14.25" customHeight="1" x14ac:dyDescent="0.3">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2:29" ht="14.25" customHeight="1" x14ac:dyDescent="0.3">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2:29" ht="14.25" customHeight="1" x14ac:dyDescent="0.3">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2:29" ht="14.25" customHeight="1" x14ac:dyDescent="0.3">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2:29" ht="14.25" customHeight="1" x14ac:dyDescent="0.3">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2:29" ht="14.25" customHeight="1" x14ac:dyDescent="0.3">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2:29" ht="14.25" customHeight="1" x14ac:dyDescent="0.3">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2:29" ht="14.25" customHeight="1" x14ac:dyDescent="0.3">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2:29" ht="14.25" customHeight="1" x14ac:dyDescent="0.3">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2:29" ht="14.25" customHeight="1" x14ac:dyDescent="0.3">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2:29" ht="14.25" customHeight="1" x14ac:dyDescent="0.3">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2:29" ht="14.25" customHeight="1" x14ac:dyDescent="0.3">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2:29" ht="14.25" customHeight="1" x14ac:dyDescent="0.3">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2:29" ht="14.25" customHeight="1" x14ac:dyDescent="0.3">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2:29" ht="14.25" customHeight="1" x14ac:dyDescent="0.3">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2:29" ht="14.25" customHeight="1" x14ac:dyDescent="0.3">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2:29" ht="14.25" customHeight="1" x14ac:dyDescent="0.3">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2:29" ht="14.25" customHeight="1" x14ac:dyDescent="0.3">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2:29" ht="14.25" customHeight="1" x14ac:dyDescent="0.3">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2:29" ht="14.25" customHeight="1" x14ac:dyDescent="0.3">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2:29" ht="14.25" customHeight="1" x14ac:dyDescent="0.3">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2:29" ht="14.25" customHeight="1" x14ac:dyDescent="0.3">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2:29" ht="14.25" customHeight="1" x14ac:dyDescent="0.3">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2:29" ht="14.25" customHeight="1" x14ac:dyDescent="0.3">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2:29" ht="14.25" customHeight="1" x14ac:dyDescent="0.3">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2:29" ht="14.25" customHeight="1" x14ac:dyDescent="0.3">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2:29" ht="14.25" customHeight="1" x14ac:dyDescent="0.3">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sheetData>
  <autoFilter ref="B2:O59" xr:uid="{00000000-0009-0000-0000-000002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B2:O2"/>
    <mergeCell ref="B3:O3"/>
  </mergeCells>
  <conditionalFormatting sqref="J63:K72 J73 J74:K74">
    <cfRule type="notContainsBlanks" dxfId="3" priority="7">
      <formula>LEN(TRIM(J63))&gt;0</formula>
    </cfRule>
  </conditionalFormatting>
  <conditionalFormatting sqref="J62:L62 L63:L74">
    <cfRule type="notContainsBlanks" dxfId="2" priority="6">
      <formula>LEN(TRIM(J62))&gt;0</formula>
    </cfRule>
  </conditionalFormatting>
  <conditionalFormatting sqref="J76:L82">
    <cfRule type="notContainsBlanks" dxfId="1" priority="4">
      <formula>LEN(TRIM(J76))&gt;0</formula>
    </cfRule>
  </conditionalFormatting>
  <conditionalFormatting sqref="J85:L87">
    <cfRule type="notContainsBlanks" dxfId="0" priority="1">
      <formula>LEN(TRIM(J85))&gt;0</formula>
    </cfRule>
  </conditionalFormatting>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A885"/>
  <sheetViews>
    <sheetView topLeftCell="A50" zoomScale="115" zoomScaleNormal="115" workbookViewId="0">
      <selection activeCell="B61" sqref="B61:G114"/>
    </sheetView>
  </sheetViews>
  <sheetFormatPr defaultColWidth="12.59765625" defaultRowHeight="15" customHeight="1" x14ac:dyDescent="0.25"/>
  <cols>
    <col min="1" max="1" width="3.59765625" customWidth="1"/>
    <col min="2" max="3" width="4.8984375" customWidth="1"/>
    <col min="4" max="4" width="7.59765625" customWidth="1"/>
    <col min="5" max="5" width="30.69921875" bestFit="1" customWidth="1"/>
    <col min="6" max="6" width="33.3984375" bestFit="1" customWidth="1"/>
    <col min="7" max="7" width="7.19921875" bestFit="1" customWidth="1"/>
    <col min="8" max="8" width="9" bestFit="1" customWidth="1"/>
    <col min="9" max="9" width="14.8984375" bestFit="1" customWidth="1"/>
    <col min="10" max="10" width="13.59765625" bestFit="1" customWidth="1"/>
    <col min="11" max="11" width="11.09765625" bestFit="1" customWidth="1"/>
    <col min="12" max="12" width="12.69921875" bestFit="1" customWidth="1"/>
    <col min="13" max="13" width="10.69921875" bestFit="1" customWidth="1"/>
    <col min="14" max="14" width="2.3984375" customWidth="1"/>
    <col min="15" max="15" width="9.59765625" customWidth="1"/>
    <col min="16" max="16" width="18" bestFit="1" customWidth="1"/>
    <col min="17" max="17" width="3.5" customWidth="1"/>
    <col min="18" max="18" width="5.09765625" bestFit="1" customWidth="1"/>
    <col min="19" max="19" width="1.8984375" customWidth="1"/>
    <col min="20" max="20" width="13.69921875" bestFit="1" customWidth="1"/>
    <col min="21" max="21" width="4.19921875" customWidth="1"/>
    <col min="22" max="27" width="7.59765625" customWidth="1"/>
  </cols>
  <sheetData>
    <row r="1" spans="2:27" ht="14.25" customHeight="1" x14ac:dyDescent="0.3">
      <c r="B1" s="1"/>
      <c r="C1" s="1"/>
      <c r="D1" s="1"/>
      <c r="E1" s="1"/>
      <c r="F1" s="1"/>
      <c r="G1" s="1"/>
      <c r="H1" s="1"/>
      <c r="I1" s="1"/>
      <c r="J1" s="1"/>
      <c r="K1" s="1"/>
      <c r="L1" s="1"/>
      <c r="M1" s="1"/>
      <c r="N1" s="1"/>
      <c r="O1" s="50" t="s">
        <v>263</v>
      </c>
      <c r="P1" s="212" t="s">
        <v>265</v>
      </c>
      <c r="Q1" s="50" t="s">
        <v>264</v>
      </c>
      <c r="R1" s="1"/>
      <c r="S1" s="1"/>
      <c r="T1" s="1"/>
      <c r="U1" s="1"/>
      <c r="V1" s="1"/>
      <c r="W1" s="1"/>
      <c r="X1" s="1"/>
      <c r="Y1" s="1"/>
      <c r="Z1" s="1"/>
      <c r="AA1" s="1"/>
    </row>
    <row r="2" spans="2:27" ht="14.25" customHeight="1" x14ac:dyDescent="0.3">
      <c r="B2" s="416" t="s">
        <v>440</v>
      </c>
      <c r="C2" s="416"/>
      <c r="D2" s="416"/>
      <c r="E2" s="416"/>
      <c r="F2" s="416"/>
      <c r="G2" s="416"/>
      <c r="H2" s="416"/>
      <c r="I2" s="416"/>
      <c r="J2" s="416"/>
      <c r="K2" s="416"/>
      <c r="L2" s="416"/>
      <c r="M2" s="416"/>
      <c r="N2" s="50"/>
      <c r="O2" t="s">
        <v>277</v>
      </c>
      <c r="P2" s="212" t="s">
        <v>271</v>
      </c>
      <c r="Q2" s="50" t="s">
        <v>266</v>
      </c>
      <c r="R2" s="213" t="s">
        <v>278</v>
      </c>
      <c r="S2" s="50"/>
      <c r="T2" s="1"/>
      <c r="U2" s="1"/>
      <c r="V2" s="1"/>
      <c r="W2" s="1"/>
      <c r="X2" s="1"/>
      <c r="Y2" s="1"/>
      <c r="Z2" s="1"/>
      <c r="AA2" s="1"/>
    </row>
    <row r="3" spans="2:27" ht="14.25" customHeight="1" x14ac:dyDescent="0.3">
      <c r="B3" s="417" t="s">
        <v>441</v>
      </c>
      <c r="C3" s="417"/>
      <c r="D3" s="417"/>
      <c r="E3" s="417"/>
      <c r="F3" s="417"/>
      <c r="G3" s="417"/>
      <c r="H3" s="417"/>
      <c r="I3" s="417"/>
      <c r="J3" s="417"/>
      <c r="K3" s="417"/>
      <c r="L3" s="417"/>
      <c r="M3" s="417"/>
      <c r="N3" s="50"/>
      <c r="O3" s="50"/>
      <c r="P3" s="212" t="s">
        <v>1</v>
      </c>
      <c r="Q3" s="50" t="s">
        <v>267</v>
      </c>
      <c r="R3" s="50" t="s">
        <v>279</v>
      </c>
      <c r="S3" s="50"/>
      <c r="T3" s="1"/>
      <c r="U3" s="1"/>
      <c r="V3" s="1"/>
      <c r="W3" s="1"/>
      <c r="X3" s="1"/>
      <c r="Y3" s="1"/>
      <c r="Z3" s="1"/>
      <c r="AA3" s="1"/>
    </row>
    <row r="4" spans="2:27" ht="14.25" customHeight="1" x14ac:dyDescent="0.3">
      <c r="B4" s="51"/>
      <c r="C4" s="51"/>
      <c r="D4" s="51"/>
      <c r="E4" s="51"/>
      <c r="F4" s="51"/>
      <c r="G4" s="51"/>
      <c r="H4" s="303">
        <v>1</v>
      </c>
      <c r="I4" s="303">
        <v>2</v>
      </c>
      <c r="J4" s="303">
        <v>3</v>
      </c>
      <c r="K4" s="303">
        <v>4</v>
      </c>
      <c r="L4" s="303">
        <v>5</v>
      </c>
      <c r="M4" s="303">
        <v>6</v>
      </c>
      <c r="N4" s="50"/>
      <c r="O4" s="50"/>
      <c r="P4" s="212" t="s">
        <v>272</v>
      </c>
      <c r="Q4" s="50" t="s">
        <v>268</v>
      </c>
      <c r="R4" s="50" t="s">
        <v>280</v>
      </c>
      <c r="S4" s="50"/>
      <c r="T4" s="1"/>
      <c r="U4" s="1"/>
      <c r="V4" s="1"/>
      <c r="W4" s="1"/>
      <c r="X4" s="1"/>
      <c r="Y4" s="1"/>
      <c r="Z4" s="1"/>
      <c r="AA4" s="1"/>
    </row>
    <row r="5" spans="2:27" ht="14.25" customHeight="1" x14ac:dyDescent="0.3">
      <c r="B5" s="152" t="s">
        <v>69</v>
      </c>
      <c r="C5" s="152" t="s">
        <v>1</v>
      </c>
      <c r="D5" s="153" t="s">
        <v>0</v>
      </c>
      <c r="E5" s="174" t="s">
        <v>364</v>
      </c>
      <c r="F5" s="188" t="s">
        <v>365</v>
      </c>
      <c r="G5" s="234" t="s">
        <v>1</v>
      </c>
      <c r="H5" s="154" t="s">
        <v>138</v>
      </c>
      <c r="I5" s="154" t="s">
        <v>210</v>
      </c>
      <c r="J5" s="154" t="s">
        <v>211</v>
      </c>
      <c r="K5" s="154" t="s">
        <v>212</v>
      </c>
      <c r="L5" s="154" t="s">
        <v>213</v>
      </c>
      <c r="M5" s="174" t="s">
        <v>214</v>
      </c>
      <c r="N5" s="50"/>
      <c r="O5" s="50"/>
      <c r="P5" s="212" t="s">
        <v>274</v>
      </c>
      <c r="Q5" s="50" t="s">
        <v>269</v>
      </c>
      <c r="R5" s="50" t="s">
        <v>454</v>
      </c>
      <c r="S5" s="50"/>
      <c r="T5" s="1" t="s">
        <v>455</v>
      </c>
      <c r="U5" s="1"/>
      <c r="V5" s="1"/>
      <c r="W5" s="1"/>
      <c r="X5" s="1"/>
      <c r="Y5" s="1"/>
      <c r="Z5" s="1"/>
      <c r="AA5" s="1"/>
    </row>
    <row r="6" spans="2:27" ht="14.25" customHeight="1" x14ac:dyDescent="0.3">
      <c r="B6" s="108" t="s">
        <v>2</v>
      </c>
      <c r="C6" s="108">
        <v>2</v>
      </c>
      <c r="D6" s="130" t="s">
        <v>286</v>
      </c>
      <c r="E6" s="52" t="s">
        <v>14</v>
      </c>
      <c r="F6" s="116" t="s">
        <v>370</v>
      </c>
      <c r="G6" s="237">
        <v>2</v>
      </c>
      <c r="H6" s="54">
        <v>2</v>
      </c>
      <c r="I6" s="54"/>
      <c r="J6" s="54"/>
      <c r="K6" s="54"/>
      <c r="L6" s="54"/>
      <c r="M6" s="176"/>
      <c r="N6" s="50"/>
      <c r="O6" s="50"/>
      <c r="P6" s="212" t="s">
        <v>273</v>
      </c>
      <c r="Q6" s="50" t="s">
        <v>270</v>
      </c>
      <c r="R6" s="50" t="s">
        <v>351</v>
      </c>
      <c r="S6" s="50"/>
      <c r="T6" s="1" t="s">
        <v>456</v>
      </c>
      <c r="U6" s="1"/>
      <c r="V6" s="1"/>
      <c r="W6" s="1"/>
      <c r="X6" s="1"/>
      <c r="Y6" s="1"/>
      <c r="Z6" s="1"/>
      <c r="AA6" s="1"/>
    </row>
    <row r="7" spans="2:27" ht="14.25" customHeight="1" x14ac:dyDescent="0.3">
      <c r="B7" s="108" t="s">
        <v>2</v>
      </c>
      <c r="C7" s="108">
        <v>2</v>
      </c>
      <c r="D7" s="130" t="s">
        <v>287</v>
      </c>
      <c r="E7" s="52" t="s">
        <v>11</v>
      </c>
      <c r="F7" s="116" t="s">
        <v>380</v>
      </c>
      <c r="G7" s="237">
        <v>2</v>
      </c>
      <c r="H7" s="54">
        <v>2</v>
      </c>
      <c r="I7" s="54"/>
      <c r="J7" s="54"/>
      <c r="K7" s="54"/>
      <c r="L7" s="54"/>
      <c r="M7" s="176"/>
      <c r="N7" s="50"/>
      <c r="P7" s="212" t="s">
        <v>276</v>
      </c>
      <c r="Q7" s="50" t="s">
        <v>275</v>
      </c>
      <c r="R7" s="50"/>
      <c r="S7" s="50"/>
      <c r="T7" s="1"/>
      <c r="U7" s="1"/>
      <c r="V7" s="1"/>
      <c r="W7" s="1"/>
      <c r="X7" s="1"/>
      <c r="Y7" s="1"/>
      <c r="Z7" s="1"/>
      <c r="AA7" s="1"/>
    </row>
    <row r="8" spans="2:27" ht="14.25" customHeight="1" x14ac:dyDescent="0.3">
      <c r="B8" s="108" t="s">
        <v>2</v>
      </c>
      <c r="C8" s="108">
        <v>2</v>
      </c>
      <c r="D8" s="159" t="s">
        <v>281</v>
      </c>
      <c r="E8" s="52" t="s">
        <v>73</v>
      </c>
      <c r="F8" s="116" t="s">
        <v>369</v>
      </c>
      <c r="G8" s="237">
        <v>2</v>
      </c>
      <c r="H8" s="54">
        <v>2</v>
      </c>
      <c r="I8" s="54"/>
      <c r="J8" s="54"/>
      <c r="K8" s="54"/>
      <c r="L8" s="54"/>
      <c r="M8" s="176"/>
      <c r="N8" s="50"/>
      <c r="U8" s="1"/>
      <c r="V8" s="1"/>
      <c r="W8" s="1"/>
      <c r="X8" s="1"/>
      <c r="Y8" s="1"/>
      <c r="Z8" s="1"/>
      <c r="AA8" s="1"/>
    </row>
    <row r="9" spans="2:27" ht="14.25" customHeight="1" x14ac:dyDescent="0.3">
      <c r="B9" s="108" t="s">
        <v>2</v>
      </c>
      <c r="C9" s="108">
        <v>3</v>
      </c>
      <c r="D9" s="129" t="s">
        <v>289</v>
      </c>
      <c r="E9" s="74" t="s">
        <v>23</v>
      </c>
      <c r="F9" s="79" t="s">
        <v>384</v>
      </c>
      <c r="G9" s="235">
        <v>3</v>
      </c>
      <c r="H9" s="76"/>
      <c r="I9" s="75">
        <v>3</v>
      </c>
      <c r="J9" s="77"/>
      <c r="K9" s="77"/>
      <c r="L9" s="77"/>
      <c r="M9" s="175"/>
      <c r="N9" s="50"/>
      <c r="R9" s="50"/>
      <c r="S9" s="50"/>
      <c r="T9" s="1"/>
      <c r="U9" s="1"/>
      <c r="V9" s="1"/>
      <c r="W9" s="1"/>
      <c r="X9" s="1"/>
      <c r="Y9" s="1"/>
      <c r="Z9" s="1"/>
      <c r="AA9" s="1"/>
    </row>
    <row r="10" spans="2:27" ht="14.25" customHeight="1" x14ac:dyDescent="0.3">
      <c r="B10" s="108" t="s">
        <v>2</v>
      </c>
      <c r="C10" s="108">
        <v>3</v>
      </c>
      <c r="D10" s="160" t="s">
        <v>290</v>
      </c>
      <c r="E10" s="162" t="s">
        <v>10</v>
      </c>
      <c r="F10" s="245" t="s">
        <v>367</v>
      </c>
      <c r="G10" s="236">
        <v>3</v>
      </c>
      <c r="H10" s="111"/>
      <c r="I10" s="111"/>
      <c r="J10" s="111"/>
      <c r="K10" s="110">
        <v>3</v>
      </c>
      <c r="L10" s="111"/>
      <c r="M10" s="177"/>
      <c r="N10" s="50"/>
      <c r="R10" s="50"/>
      <c r="S10" s="50"/>
      <c r="T10" s="1"/>
      <c r="U10" s="1"/>
      <c r="V10" s="1"/>
      <c r="W10" s="1"/>
      <c r="X10" s="1"/>
      <c r="Y10" s="1"/>
      <c r="Z10" s="1"/>
      <c r="AA10" s="1"/>
    </row>
    <row r="11" spans="2:27" ht="14.25" customHeight="1" x14ac:dyDescent="0.3">
      <c r="B11" s="108" t="s">
        <v>2</v>
      </c>
      <c r="C11" s="108">
        <v>3</v>
      </c>
      <c r="D11" s="161" t="s">
        <v>291</v>
      </c>
      <c r="E11" s="162" t="s">
        <v>15</v>
      </c>
      <c r="F11" s="245" t="s">
        <v>368</v>
      </c>
      <c r="G11" s="236">
        <v>3</v>
      </c>
      <c r="H11" s="115"/>
      <c r="I11" s="111"/>
      <c r="J11" s="111"/>
      <c r="K11" s="110">
        <v>3</v>
      </c>
      <c r="L11" s="111"/>
      <c r="M11" s="177"/>
      <c r="N11" s="50"/>
      <c r="R11" s="50"/>
      <c r="S11" s="50"/>
      <c r="T11" s="1"/>
      <c r="U11" s="1"/>
      <c r="V11" s="1"/>
      <c r="W11" s="1"/>
      <c r="X11" s="1"/>
      <c r="Y11" s="1"/>
      <c r="Z11" s="1"/>
      <c r="AA11" s="1"/>
    </row>
    <row r="12" spans="2:27" ht="14.25" customHeight="1" x14ac:dyDescent="0.3">
      <c r="B12" s="108" t="s">
        <v>2</v>
      </c>
      <c r="C12" s="108">
        <v>4</v>
      </c>
      <c r="D12" s="128" t="s">
        <v>288</v>
      </c>
      <c r="E12" s="74" t="s">
        <v>216</v>
      </c>
      <c r="F12" s="79" t="s">
        <v>366</v>
      </c>
      <c r="G12" s="235">
        <v>4</v>
      </c>
      <c r="H12" s="76"/>
      <c r="I12" s="77">
        <v>4</v>
      </c>
      <c r="J12" s="77"/>
      <c r="K12" s="77"/>
      <c r="L12" s="77"/>
      <c r="M12" s="175"/>
      <c r="N12" s="50"/>
      <c r="R12" s="50"/>
      <c r="S12" s="50"/>
      <c r="T12" s="1"/>
      <c r="U12" s="1"/>
      <c r="V12" s="1"/>
      <c r="W12" s="1"/>
      <c r="X12" s="1"/>
      <c r="Y12" s="1"/>
      <c r="Z12" s="1"/>
      <c r="AA12" s="1"/>
    </row>
    <row r="13" spans="2:27" ht="14.25" customHeight="1" x14ac:dyDescent="0.3">
      <c r="B13" s="113" t="s">
        <v>4</v>
      </c>
      <c r="C13" s="113">
        <v>2</v>
      </c>
      <c r="D13" s="253" t="s">
        <v>292</v>
      </c>
      <c r="E13" s="52" t="s">
        <v>27</v>
      </c>
      <c r="F13" s="116" t="s">
        <v>383</v>
      </c>
      <c r="G13" s="237">
        <v>2</v>
      </c>
      <c r="H13" s="53">
        <v>2</v>
      </c>
      <c r="I13" s="57"/>
      <c r="J13" s="57"/>
      <c r="K13" s="57"/>
      <c r="L13" s="57"/>
      <c r="M13" s="176"/>
      <c r="N13" s="50"/>
      <c r="Q13" s="50"/>
      <c r="R13" s="50"/>
      <c r="S13" s="50"/>
      <c r="W13" s="1"/>
      <c r="X13" s="1"/>
      <c r="Y13" s="1"/>
      <c r="Z13" s="1"/>
      <c r="AA13" s="1"/>
    </row>
    <row r="14" spans="2:27" ht="14.25" customHeight="1" x14ac:dyDescent="0.3">
      <c r="B14" s="113" t="s">
        <v>4</v>
      </c>
      <c r="C14" s="113">
        <v>3</v>
      </c>
      <c r="D14" s="132" t="s">
        <v>293</v>
      </c>
      <c r="E14" s="225" t="s">
        <v>6</v>
      </c>
      <c r="F14" s="79" t="s">
        <v>371</v>
      </c>
      <c r="G14" s="235">
        <v>3</v>
      </c>
      <c r="H14" s="76"/>
      <c r="I14" s="75">
        <v>3</v>
      </c>
      <c r="J14" s="77"/>
      <c r="K14" s="77"/>
      <c r="L14" s="77"/>
      <c r="M14" s="175"/>
      <c r="N14" s="50"/>
      <c r="Q14" s="50"/>
      <c r="R14" s="50"/>
      <c r="S14" s="50"/>
      <c r="T14" s="1"/>
      <c r="U14" s="1"/>
      <c r="V14" s="1"/>
      <c r="W14" s="1"/>
      <c r="X14" s="1"/>
      <c r="Y14" s="1"/>
      <c r="Z14" s="1"/>
      <c r="AA14" s="1"/>
    </row>
    <row r="15" spans="2:27" ht="14.25" customHeight="1" x14ac:dyDescent="0.3">
      <c r="B15" s="113" t="s">
        <v>4</v>
      </c>
      <c r="C15" s="113">
        <v>3</v>
      </c>
      <c r="D15" s="131" t="s">
        <v>294</v>
      </c>
      <c r="E15" s="225" t="s">
        <v>19</v>
      </c>
      <c r="F15" s="79" t="s">
        <v>372</v>
      </c>
      <c r="G15" s="235">
        <v>3</v>
      </c>
      <c r="H15" s="76"/>
      <c r="I15" s="75">
        <v>3</v>
      </c>
      <c r="J15" s="77"/>
      <c r="K15" s="77"/>
      <c r="L15" s="77"/>
      <c r="M15" s="175"/>
      <c r="N15" s="50"/>
      <c r="Q15" s="50"/>
      <c r="R15" s="50"/>
      <c r="S15" s="50"/>
      <c r="T15" s="1"/>
      <c r="U15" s="1"/>
      <c r="V15" s="1"/>
      <c r="W15" s="1"/>
      <c r="X15" s="1"/>
      <c r="Y15" s="1"/>
      <c r="Z15" s="1"/>
      <c r="AA15" s="1"/>
    </row>
    <row r="16" spans="2:27" ht="14.25" customHeight="1" x14ac:dyDescent="0.3">
      <c r="B16" s="113" t="s">
        <v>4</v>
      </c>
      <c r="C16" s="113">
        <v>3</v>
      </c>
      <c r="D16" s="289" t="s">
        <v>295</v>
      </c>
      <c r="E16" s="210" t="s">
        <v>21</v>
      </c>
      <c r="F16" s="79" t="s">
        <v>373</v>
      </c>
      <c r="G16" s="240">
        <v>3</v>
      </c>
      <c r="H16" s="211"/>
      <c r="I16" s="80">
        <v>3</v>
      </c>
      <c r="J16" s="81"/>
      <c r="K16" s="81"/>
      <c r="L16" s="81"/>
      <c r="M16" s="175"/>
      <c r="N16" s="50"/>
      <c r="O16" s="50"/>
      <c r="P16" s="50"/>
      <c r="Q16" s="50"/>
      <c r="R16" s="50"/>
      <c r="S16" s="50"/>
      <c r="T16" s="1"/>
      <c r="U16" s="1"/>
      <c r="V16" s="1"/>
      <c r="W16" s="1"/>
      <c r="X16" s="1"/>
      <c r="Y16" s="1"/>
      <c r="Z16" s="1"/>
      <c r="AA16" s="1"/>
    </row>
    <row r="17" spans="2:27" ht="14.25" customHeight="1" x14ac:dyDescent="0.3">
      <c r="B17" s="113" t="s">
        <v>4</v>
      </c>
      <c r="C17" s="113">
        <v>3</v>
      </c>
      <c r="D17" s="133" t="s">
        <v>296</v>
      </c>
      <c r="E17" s="226" t="s">
        <v>298</v>
      </c>
      <c r="F17" s="119" t="s">
        <v>375</v>
      </c>
      <c r="G17" s="238">
        <v>3</v>
      </c>
      <c r="H17" s="83"/>
      <c r="I17" s="60"/>
      <c r="J17" s="60">
        <v>3</v>
      </c>
      <c r="K17" s="108"/>
      <c r="L17" s="108"/>
      <c r="M17" s="178"/>
      <c r="N17" s="50"/>
      <c r="O17" s="50"/>
      <c r="P17" s="50"/>
      <c r="Q17" s="50"/>
      <c r="R17" s="50"/>
      <c r="S17" s="50"/>
      <c r="T17" s="1"/>
      <c r="U17" s="1"/>
      <c r="V17" s="1"/>
      <c r="W17" s="1"/>
      <c r="X17" s="1"/>
      <c r="Y17" s="1"/>
      <c r="Z17" s="1"/>
      <c r="AA17" s="1"/>
    </row>
    <row r="18" spans="2:27" ht="14.25" customHeight="1" x14ac:dyDescent="0.3">
      <c r="B18" s="113" t="s">
        <v>4</v>
      </c>
      <c r="C18" s="113">
        <v>3</v>
      </c>
      <c r="D18" s="255" t="s">
        <v>297</v>
      </c>
      <c r="E18" s="257" t="s">
        <v>139</v>
      </c>
      <c r="F18" s="245" t="s">
        <v>374</v>
      </c>
      <c r="G18" s="292">
        <v>3</v>
      </c>
      <c r="H18" s="115"/>
      <c r="I18" s="293"/>
      <c r="J18" s="111"/>
      <c r="K18" s="110">
        <v>3</v>
      </c>
      <c r="L18" s="111"/>
      <c r="M18" s="177"/>
      <c r="N18" s="50"/>
      <c r="O18" s="50"/>
      <c r="P18" s="50"/>
      <c r="Q18" s="50"/>
      <c r="R18" s="50"/>
      <c r="S18" s="50"/>
      <c r="T18" s="1"/>
      <c r="U18" s="1"/>
      <c r="V18" s="1"/>
      <c r="W18" s="1"/>
      <c r="X18" s="1"/>
      <c r="Y18" s="1"/>
      <c r="Z18" s="1"/>
      <c r="AA18" s="1"/>
    </row>
    <row r="19" spans="2:27" ht="14.25" customHeight="1" x14ac:dyDescent="0.3">
      <c r="B19" s="134" t="s">
        <v>4</v>
      </c>
      <c r="C19" s="134">
        <v>3</v>
      </c>
      <c r="D19" s="157" t="s">
        <v>465</v>
      </c>
      <c r="E19" s="226" t="s">
        <v>33</v>
      </c>
      <c r="F19" s="119" t="s">
        <v>382</v>
      </c>
      <c r="G19" s="238">
        <v>3</v>
      </c>
      <c r="H19" s="83"/>
      <c r="I19" s="108"/>
      <c r="J19" s="60">
        <v>3</v>
      </c>
      <c r="K19" s="108"/>
      <c r="L19" s="108"/>
      <c r="M19" s="178"/>
      <c r="N19" s="50"/>
      <c r="O19" s="50"/>
      <c r="P19" s="50"/>
      <c r="Q19" s="50"/>
      <c r="R19" s="50"/>
      <c r="S19" s="50"/>
      <c r="T19" s="1"/>
      <c r="U19" s="1"/>
      <c r="V19" s="1"/>
      <c r="W19" s="1"/>
      <c r="X19" s="1"/>
      <c r="Y19" s="1"/>
      <c r="Z19" s="1"/>
      <c r="AA19" s="1"/>
    </row>
    <row r="20" spans="2:27" ht="14.25" customHeight="1" x14ac:dyDescent="0.3">
      <c r="B20" s="113" t="s">
        <v>24</v>
      </c>
      <c r="C20" s="113">
        <v>2</v>
      </c>
      <c r="D20" s="128" t="s">
        <v>466</v>
      </c>
      <c r="E20" s="59" t="s">
        <v>376</v>
      </c>
      <c r="F20" s="58" t="s">
        <v>218</v>
      </c>
      <c r="G20" s="235">
        <v>2</v>
      </c>
      <c r="H20" s="77"/>
      <c r="I20" s="77">
        <v>2</v>
      </c>
      <c r="J20" s="75"/>
      <c r="K20" s="77"/>
      <c r="L20" s="77"/>
      <c r="M20" s="175"/>
      <c r="N20" s="50"/>
      <c r="O20" s="50"/>
      <c r="P20" s="50"/>
      <c r="Q20" s="50"/>
      <c r="R20" s="50"/>
      <c r="S20" s="50"/>
      <c r="T20" s="1"/>
      <c r="U20" s="1"/>
      <c r="V20" s="1"/>
      <c r="W20" s="1"/>
      <c r="X20" s="1"/>
      <c r="Y20" s="1"/>
      <c r="Z20" s="1"/>
      <c r="AA20" s="1"/>
    </row>
    <row r="21" spans="2:27" ht="14.25" customHeight="1" x14ac:dyDescent="0.3">
      <c r="B21" s="134" t="s">
        <v>24</v>
      </c>
      <c r="C21" s="134">
        <v>2</v>
      </c>
      <c r="D21" s="130" t="s">
        <v>299</v>
      </c>
      <c r="E21" s="52" t="s">
        <v>25</v>
      </c>
      <c r="F21" s="116" t="s">
        <v>25</v>
      </c>
      <c r="G21" s="237">
        <v>2</v>
      </c>
      <c r="H21" s="53">
        <v>2</v>
      </c>
      <c r="I21" s="54"/>
      <c r="J21" s="54"/>
      <c r="K21" s="54"/>
      <c r="L21" s="54"/>
      <c r="M21" s="176"/>
      <c r="N21" s="50"/>
      <c r="O21" s="50"/>
      <c r="P21" s="50"/>
      <c r="U21" s="1"/>
      <c r="V21" s="1"/>
      <c r="W21" s="1"/>
      <c r="X21" s="1"/>
      <c r="Y21" s="1"/>
      <c r="Z21" s="1"/>
      <c r="AA21" s="1"/>
    </row>
    <row r="22" spans="2:27" ht="14.25" customHeight="1" x14ac:dyDescent="0.3">
      <c r="B22" s="134" t="s">
        <v>24</v>
      </c>
      <c r="C22" s="134">
        <v>2</v>
      </c>
      <c r="D22" s="290" t="s">
        <v>300</v>
      </c>
      <c r="E22" s="227" t="s">
        <v>28</v>
      </c>
      <c r="F22" s="116" t="s">
        <v>379</v>
      </c>
      <c r="G22" s="237">
        <v>2</v>
      </c>
      <c r="H22" s="53">
        <v>2</v>
      </c>
      <c r="I22" s="54"/>
      <c r="J22" s="54"/>
      <c r="K22" s="54"/>
      <c r="L22" s="54"/>
      <c r="M22" s="176"/>
      <c r="N22" s="50"/>
      <c r="O22" s="50"/>
      <c r="P22" s="50"/>
      <c r="U22" s="1"/>
      <c r="V22" s="1"/>
      <c r="W22" s="1"/>
      <c r="X22" s="1"/>
      <c r="Y22" s="1"/>
      <c r="Z22" s="1"/>
      <c r="AA22" s="1"/>
    </row>
    <row r="23" spans="2:27" ht="14.25" customHeight="1" x14ac:dyDescent="0.3">
      <c r="B23" s="134" t="s">
        <v>24</v>
      </c>
      <c r="C23" s="134">
        <v>2</v>
      </c>
      <c r="D23" s="132" t="s">
        <v>304</v>
      </c>
      <c r="E23" s="291" t="s">
        <v>217</v>
      </c>
      <c r="F23" s="78" t="s">
        <v>378</v>
      </c>
      <c r="G23" s="239">
        <v>2</v>
      </c>
      <c r="H23" s="76"/>
      <c r="I23" s="156">
        <v>2</v>
      </c>
      <c r="J23" s="77"/>
      <c r="K23" s="77"/>
      <c r="L23" s="77"/>
      <c r="M23" s="175"/>
      <c r="N23" s="50"/>
      <c r="O23" s="50"/>
      <c r="P23" s="50"/>
      <c r="U23" s="1"/>
      <c r="V23" s="1"/>
      <c r="W23" s="1"/>
      <c r="X23" s="1"/>
      <c r="Y23" s="1"/>
      <c r="Z23" s="1"/>
      <c r="AA23" s="1"/>
    </row>
    <row r="24" spans="2:27" ht="14.25" customHeight="1" x14ac:dyDescent="0.3">
      <c r="B24" s="134" t="s">
        <v>24</v>
      </c>
      <c r="C24" s="134">
        <v>3</v>
      </c>
      <c r="D24" s="129" t="s">
        <v>301</v>
      </c>
      <c r="E24" s="74" t="s">
        <v>377</v>
      </c>
      <c r="F24" s="79" t="s">
        <v>215</v>
      </c>
      <c r="G24" s="235">
        <v>3</v>
      </c>
      <c r="H24" s="76"/>
      <c r="I24" s="75">
        <v>3</v>
      </c>
      <c r="J24" s="77"/>
      <c r="K24" s="77"/>
      <c r="L24" s="77"/>
      <c r="M24" s="175"/>
      <c r="N24" s="50"/>
      <c r="O24" s="50"/>
      <c r="P24" s="50"/>
      <c r="Q24" s="50"/>
      <c r="R24" s="50"/>
      <c r="S24" s="50"/>
      <c r="T24" s="1"/>
      <c r="U24" s="1"/>
      <c r="V24" s="1"/>
      <c r="W24" s="1"/>
      <c r="X24" s="1"/>
      <c r="Y24" s="1"/>
      <c r="Z24" s="1"/>
      <c r="AA24" s="1"/>
    </row>
    <row r="25" spans="2:27" ht="14.25" customHeight="1" x14ac:dyDescent="0.3">
      <c r="B25" s="134" t="s">
        <v>24</v>
      </c>
      <c r="C25" s="134">
        <v>3</v>
      </c>
      <c r="D25" s="131" t="s">
        <v>302</v>
      </c>
      <c r="E25" s="225" t="s">
        <v>42</v>
      </c>
      <c r="F25" s="79" t="s">
        <v>381</v>
      </c>
      <c r="G25" s="235">
        <v>3</v>
      </c>
      <c r="H25" s="76"/>
      <c r="I25" s="75">
        <v>3</v>
      </c>
      <c r="J25" s="77"/>
      <c r="K25" s="81"/>
      <c r="L25" s="81"/>
      <c r="M25" s="175"/>
      <c r="N25" s="50"/>
      <c r="O25" s="50"/>
      <c r="P25" s="50"/>
      <c r="Q25" s="50"/>
      <c r="R25" s="50"/>
      <c r="S25" s="50"/>
      <c r="T25" s="1"/>
      <c r="U25" s="1"/>
      <c r="V25" s="1"/>
      <c r="W25" s="1"/>
      <c r="X25" s="1"/>
      <c r="Y25" s="1"/>
      <c r="Z25" s="1"/>
      <c r="AA25" s="1"/>
    </row>
    <row r="26" spans="2:27" ht="14.25" customHeight="1" x14ac:dyDescent="0.3">
      <c r="B26" s="134" t="s">
        <v>24</v>
      </c>
      <c r="C26" s="134">
        <v>3</v>
      </c>
      <c r="D26" s="132" t="s">
        <v>303</v>
      </c>
      <c r="E26" s="225" t="s">
        <v>40</v>
      </c>
      <c r="F26" s="79" t="s">
        <v>457</v>
      </c>
      <c r="G26" s="235">
        <v>3</v>
      </c>
      <c r="H26" s="76"/>
      <c r="I26" s="75">
        <v>3</v>
      </c>
      <c r="J26" s="77"/>
      <c r="K26" s="77"/>
      <c r="L26" s="77"/>
      <c r="M26" s="175"/>
      <c r="N26" s="50"/>
      <c r="O26" s="50"/>
      <c r="P26" s="50"/>
      <c r="Q26" s="50"/>
      <c r="R26" s="50"/>
      <c r="S26" s="50"/>
      <c r="T26" s="1"/>
      <c r="U26" s="1"/>
      <c r="V26" s="1"/>
      <c r="W26" s="1"/>
      <c r="X26" s="1"/>
      <c r="Y26" s="1"/>
      <c r="Z26" s="1"/>
      <c r="AA26" s="1"/>
    </row>
    <row r="27" spans="2:27" ht="14.25" customHeight="1" x14ac:dyDescent="0.3">
      <c r="B27" s="134" t="s">
        <v>24</v>
      </c>
      <c r="C27" s="134">
        <v>3</v>
      </c>
      <c r="D27" s="143" t="s">
        <v>305</v>
      </c>
      <c r="E27" s="209" t="s">
        <v>31</v>
      </c>
      <c r="F27" s="119" t="s">
        <v>386</v>
      </c>
      <c r="G27" s="238">
        <v>3</v>
      </c>
      <c r="H27" s="83"/>
      <c r="I27" s="108"/>
      <c r="J27" s="60">
        <v>3</v>
      </c>
      <c r="K27" s="83"/>
      <c r="L27" s="83"/>
      <c r="M27" s="178"/>
      <c r="N27" s="50"/>
      <c r="O27" s="50"/>
      <c r="P27" s="50"/>
      <c r="Q27" s="50"/>
      <c r="R27" s="50"/>
      <c r="S27" s="50"/>
      <c r="T27" s="1"/>
      <c r="U27" s="1"/>
      <c r="V27" s="1"/>
      <c r="W27" s="1"/>
      <c r="X27" s="1"/>
      <c r="Y27" s="1"/>
      <c r="Z27" s="1"/>
      <c r="AA27" s="1"/>
    </row>
    <row r="28" spans="2:27" ht="14.25" customHeight="1" x14ac:dyDescent="0.3">
      <c r="B28" s="108" t="s">
        <v>26</v>
      </c>
      <c r="C28" s="108">
        <v>2</v>
      </c>
      <c r="D28" s="265" t="s">
        <v>306</v>
      </c>
      <c r="E28" s="272" t="s">
        <v>29</v>
      </c>
      <c r="F28" s="116" t="s">
        <v>391</v>
      </c>
      <c r="G28" s="279">
        <v>2</v>
      </c>
      <c r="H28" s="284">
        <v>2</v>
      </c>
      <c r="I28" s="57"/>
      <c r="J28" s="57"/>
      <c r="K28" s="57"/>
      <c r="L28" s="57"/>
      <c r="M28" s="176"/>
      <c r="N28" s="50"/>
      <c r="O28" s="50"/>
      <c r="P28" s="50"/>
      <c r="U28" s="1"/>
      <c r="V28" s="1"/>
      <c r="W28" s="1"/>
      <c r="X28" s="1"/>
      <c r="Y28" s="1"/>
      <c r="Z28" s="1"/>
      <c r="AA28" s="1"/>
    </row>
    <row r="29" spans="2:27" ht="14.25" customHeight="1" x14ac:dyDescent="0.3">
      <c r="B29" s="108" t="s">
        <v>26</v>
      </c>
      <c r="C29" s="108">
        <v>2</v>
      </c>
      <c r="D29" s="129" t="s">
        <v>307</v>
      </c>
      <c r="E29" s="74" t="s">
        <v>44</v>
      </c>
      <c r="F29" s="79" t="s">
        <v>387</v>
      </c>
      <c r="G29" s="235">
        <v>2</v>
      </c>
      <c r="H29" s="76"/>
      <c r="I29" s="75">
        <v>3</v>
      </c>
      <c r="J29" s="77"/>
      <c r="K29" s="77"/>
      <c r="L29" s="77"/>
      <c r="M29" s="175"/>
      <c r="N29" s="50"/>
      <c r="O29" s="50"/>
      <c r="P29" s="50"/>
      <c r="Q29" s="50"/>
      <c r="R29" s="50"/>
      <c r="S29" s="50"/>
      <c r="T29" s="1"/>
      <c r="U29" s="1"/>
      <c r="V29" s="1"/>
      <c r="W29" s="1"/>
      <c r="X29" s="1"/>
      <c r="Y29" s="1"/>
      <c r="Z29" s="1"/>
      <c r="AA29" s="1"/>
    </row>
    <row r="30" spans="2:27" ht="14.25" customHeight="1" x14ac:dyDescent="0.3">
      <c r="B30" s="108" t="s">
        <v>26</v>
      </c>
      <c r="C30" s="108">
        <v>3</v>
      </c>
      <c r="D30" s="135" t="s">
        <v>308</v>
      </c>
      <c r="E30" s="210" t="s">
        <v>38</v>
      </c>
      <c r="F30" s="79" t="s">
        <v>388</v>
      </c>
      <c r="G30" s="240">
        <v>3</v>
      </c>
      <c r="H30" s="211"/>
      <c r="I30" s="80">
        <v>3</v>
      </c>
      <c r="J30" s="81"/>
      <c r="K30" s="81"/>
      <c r="L30" s="81"/>
      <c r="M30" s="175"/>
      <c r="N30" s="50"/>
      <c r="O30" s="50"/>
      <c r="P30" s="50"/>
      <c r="Q30" s="50"/>
      <c r="R30" s="50"/>
      <c r="S30" s="50"/>
      <c r="T30" s="1"/>
      <c r="U30" s="1"/>
      <c r="V30" s="1"/>
      <c r="W30" s="1"/>
      <c r="X30" s="1"/>
      <c r="Y30" s="1"/>
      <c r="Z30" s="1"/>
      <c r="AA30" s="1"/>
    </row>
    <row r="31" spans="2:27" ht="14.25" customHeight="1" x14ac:dyDescent="0.3">
      <c r="B31" s="108" t="s">
        <v>26</v>
      </c>
      <c r="C31" s="108">
        <v>3</v>
      </c>
      <c r="D31" s="132" t="s">
        <v>309</v>
      </c>
      <c r="E31" s="225" t="s">
        <v>54</v>
      </c>
      <c r="F31" s="79" t="s">
        <v>389</v>
      </c>
      <c r="G31" s="235">
        <v>3</v>
      </c>
      <c r="H31" s="76"/>
      <c r="I31" s="75">
        <v>3</v>
      </c>
      <c r="J31" s="77"/>
      <c r="K31" s="77"/>
      <c r="L31" s="77"/>
      <c r="M31" s="215"/>
      <c r="N31" s="50"/>
      <c r="O31" s="50"/>
      <c r="P31" s="50"/>
      <c r="Q31" s="50"/>
      <c r="R31" s="50"/>
      <c r="S31" s="50"/>
      <c r="T31" s="1"/>
      <c r="U31" s="1"/>
      <c r="V31" s="1"/>
      <c r="W31" s="1"/>
      <c r="X31" s="1"/>
      <c r="Y31" s="1"/>
      <c r="Z31" s="1"/>
      <c r="AA31" s="1"/>
    </row>
    <row r="32" spans="2:27" ht="14.25" customHeight="1" x14ac:dyDescent="0.3">
      <c r="B32" s="108" t="s">
        <v>26</v>
      </c>
      <c r="C32" s="108">
        <v>3</v>
      </c>
      <c r="D32" s="133" t="s">
        <v>310</v>
      </c>
      <c r="E32" s="256" t="s">
        <v>154</v>
      </c>
      <c r="F32" s="206" t="s">
        <v>458</v>
      </c>
      <c r="G32" s="238">
        <v>3</v>
      </c>
      <c r="H32" s="83"/>
      <c r="I32" s="83"/>
      <c r="J32" s="60">
        <v>3</v>
      </c>
      <c r="K32" s="108"/>
      <c r="L32" s="108"/>
      <c r="M32" s="178"/>
      <c r="N32" s="50"/>
      <c r="O32" s="50"/>
      <c r="P32" s="50"/>
      <c r="Q32" s="50"/>
      <c r="R32" s="50"/>
      <c r="S32" s="50"/>
      <c r="T32" s="1"/>
      <c r="U32" s="1"/>
      <c r="V32" s="1"/>
      <c r="W32" s="1"/>
      <c r="X32" s="1"/>
      <c r="Y32" s="1"/>
      <c r="Z32" s="1"/>
      <c r="AA32" s="1"/>
    </row>
    <row r="33" spans="2:27" ht="14.25" customHeight="1" x14ac:dyDescent="0.3">
      <c r="B33" s="108" t="s">
        <v>26</v>
      </c>
      <c r="C33" s="108">
        <v>3</v>
      </c>
      <c r="D33" s="133" t="s">
        <v>311</v>
      </c>
      <c r="E33" s="226" t="s">
        <v>34</v>
      </c>
      <c r="F33" s="119" t="s">
        <v>390</v>
      </c>
      <c r="G33" s="238">
        <v>3</v>
      </c>
      <c r="H33" s="83"/>
      <c r="I33" s="108"/>
      <c r="J33" s="60">
        <v>3</v>
      </c>
      <c r="K33" s="108"/>
      <c r="L33" s="108"/>
      <c r="M33" s="178"/>
      <c r="N33" s="50"/>
      <c r="O33" s="50"/>
      <c r="P33" s="50"/>
      <c r="Q33" s="50"/>
      <c r="R33" s="50"/>
      <c r="S33" s="50"/>
      <c r="T33" s="1"/>
      <c r="U33" s="1"/>
      <c r="V33" s="1"/>
      <c r="W33" s="1"/>
      <c r="X33" s="1"/>
      <c r="Y33" s="1"/>
      <c r="Z33" s="1"/>
      <c r="AA33" s="1"/>
    </row>
    <row r="34" spans="2:27" ht="14.25" customHeight="1" x14ac:dyDescent="0.3">
      <c r="B34" s="108" t="s">
        <v>26</v>
      </c>
      <c r="C34" s="108">
        <v>3</v>
      </c>
      <c r="D34" s="255" t="s">
        <v>312</v>
      </c>
      <c r="E34" s="257" t="s">
        <v>261</v>
      </c>
      <c r="F34" s="245" t="s">
        <v>385</v>
      </c>
      <c r="G34" s="236">
        <v>3</v>
      </c>
      <c r="H34" s="115"/>
      <c r="I34" s="111"/>
      <c r="J34" s="111"/>
      <c r="K34" s="110">
        <v>3</v>
      </c>
      <c r="L34" s="111"/>
      <c r="M34" s="177"/>
      <c r="N34" s="50"/>
      <c r="O34" s="50"/>
      <c r="P34" s="50"/>
      <c r="Q34" s="50"/>
      <c r="R34" s="50"/>
      <c r="S34" s="50"/>
      <c r="T34" s="1"/>
      <c r="U34" s="1"/>
      <c r="V34" s="1"/>
      <c r="W34" s="1"/>
      <c r="X34" s="1"/>
      <c r="Y34" s="1"/>
      <c r="Z34" s="1"/>
      <c r="AA34" s="1"/>
    </row>
    <row r="35" spans="2:27" ht="14.25" customHeight="1" x14ac:dyDescent="0.3">
      <c r="B35" s="113" t="s">
        <v>48</v>
      </c>
      <c r="C35" s="113">
        <v>2</v>
      </c>
      <c r="D35" s="131" t="s">
        <v>314</v>
      </c>
      <c r="E35" s="228" t="s">
        <v>61</v>
      </c>
      <c r="F35" s="58" t="s">
        <v>395</v>
      </c>
      <c r="G35" s="235">
        <v>2</v>
      </c>
      <c r="H35" s="77"/>
      <c r="I35" s="75">
        <v>3</v>
      </c>
      <c r="J35" s="77"/>
      <c r="K35" s="77"/>
      <c r="L35" s="77"/>
      <c r="M35" s="175"/>
      <c r="N35" s="50"/>
      <c r="O35" s="50"/>
      <c r="P35" s="50"/>
      <c r="Q35" s="50"/>
      <c r="R35" s="50"/>
      <c r="S35" s="50"/>
      <c r="T35" s="1"/>
      <c r="U35" s="1"/>
      <c r="V35" s="1"/>
      <c r="W35" s="1"/>
      <c r="X35" s="1"/>
      <c r="Y35" s="1"/>
      <c r="Z35" s="1"/>
      <c r="AA35" s="1"/>
    </row>
    <row r="36" spans="2:27" ht="14.25" customHeight="1" x14ac:dyDescent="0.3">
      <c r="B36" s="113" t="s">
        <v>48</v>
      </c>
      <c r="C36" s="113">
        <v>3</v>
      </c>
      <c r="D36" s="267" t="s">
        <v>318</v>
      </c>
      <c r="E36" s="227" t="s">
        <v>46</v>
      </c>
      <c r="F36" s="116" t="s">
        <v>398</v>
      </c>
      <c r="G36" s="279">
        <v>3</v>
      </c>
      <c r="H36" s="53">
        <v>3</v>
      </c>
      <c r="I36" s="57"/>
      <c r="J36" s="57"/>
      <c r="K36" s="286"/>
      <c r="L36" s="286"/>
      <c r="M36" s="176"/>
      <c r="N36" s="50"/>
      <c r="O36" s="50"/>
      <c r="P36" s="50"/>
      <c r="S36" s="50"/>
      <c r="T36" s="1"/>
      <c r="U36" s="1"/>
      <c r="V36" s="1"/>
      <c r="W36" s="1"/>
      <c r="X36" s="1"/>
      <c r="Y36" s="1"/>
      <c r="Z36" s="1"/>
      <c r="AA36" s="1"/>
    </row>
    <row r="37" spans="2:27" ht="14.25" customHeight="1" x14ac:dyDescent="0.3">
      <c r="B37" s="113" t="s">
        <v>48</v>
      </c>
      <c r="C37" s="113">
        <v>3</v>
      </c>
      <c r="D37" s="266" t="s">
        <v>313</v>
      </c>
      <c r="E37" s="273" t="s">
        <v>59</v>
      </c>
      <c r="F37" s="207" t="s">
        <v>393</v>
      </c>
      <c r="G37" s="240">
        <v>3</v>
      </c>
      <c r="H37" s="81"/>
      <c r="I37" s="80">
        <v>3</v>
      </c>
      <c r="J37" s="81"/>
      <c r="K37" s="81"/>
      <c r="L37" s="81"/>
      <c r="M37" s="180"/>
      <c r="N37" s="50"/>
      <c r="O37" s="50"/>
      <c r="P37" s="50"/>
      <c r="Q37" s="50"/>
      <c r="R37" s="50"/>
      <c r="S37" s="50"/>
      <c r="T37" s="1"/>
      <c r="U37" s="1"/>
      <c r="V37" s="1"/>
      <c r="W37" s="1"/>
      <c r="X37" s="1"/>
      <c r="Y37" s="1"/>
      <c r="Z37" s="1"/>
      <c r="AA37" s="1"/>
    </row>
    <row r="38" spans="2:27" ht="14.25" customHeight="1" x14ac:dyDescent="0.3">
      <c r="B38" s="113" t="s">
        <v>48</v>
      </c>
      <c r="C38" s="113">
        <v>2</v>
      </c>
      <c r="D38" s="131" t="s">
        <v>464</v>
      </c>
      <c r="E38" s="228" t="s">
        <v>392</v>
      </c>
      <c r="F38" s="58" t="s">
        <v>146</v>
      </c>
      <c r="G38" s="235">
        <v>2</v>
      </c>
      <c r="H38" s="77"/>
      <c r="I38" s="75">
        <v>3</v>
      </c>
      <c r="J38" s="77"/>
      <c r="K38" s="77"/>
      <c r="L38" s="77"/>
      <c r="M38" s="175"/>
      <c r="N38" s="50"/>
      <c r="O38" s="50"/>
      <c r="P38" s="50"/>
      <c r="Q38" s="50"/>
      <c r="R38" s="50"/>
      <c r="S38" s="50"/>
      <c r="T38" s="1"/>
      <c r="U38" s="1"/>
      <c r="V38" s="1"/>
      <c r="W38" s="1"/>
      <c r="X38" s="1"/>
      <c r="Y38" s="1"/>
      <c r="Z38" s="1"/>
      <c r="AA38" s="1"/>
    </row>
    <row r="39" spans="2:27" ht="14.25" customHeight="1" x14ac:dyDescent="0.3">
      <c r="B39" s="113" t="s">
        <v>48</v>
      </c>
      <c r="C39" s="113">
        <v>3</v>
      </c>
      <c r="D39" s="131" t="s">
        <v>316</v>
      </c>
      <c r="E39" s="228" t="s">
        <v>58</v>
      </c>
      <c r="F39" s="228" t="s">
        <v>394</v>
      </c>
      <c r="G39" s="235">
        <v>3</v>
      </c>
      <c r="H39" s="77"/>
      <c r="I39" s="80">
        <v>3</v>
      </c>
      <c r="J39" s="77"/>
      <c r="K39" s="77"/>
      <c r="L39" s="77"/>
      <c r="M39" s="175"/>
      <c r="N39" s="50"/>
      <c r="O39" s="50"/>
      <c r="P39" s="50"/>
      <c r="Q39" s="50"/>
      <c r="R39" s="50"/>
      <c r="S39" s="50"/>
      <c r="T39" s="1"/>
      <c r="U39" s="1"/>
      <c r="V39" s="1"/>
      <c r="W39" s="1"/>
      <c r="X39" s="1"/>
      <c r="Y39" s="1"/>
      <c r="Z39" s="1"/>
      <c r="AA39" s="1"/>
    </row>
    <row r="40" spans="2:27" ht="14.25" customHeight="1" x14ac:dyDescent="0.3">
      <c r="B40" s="113" t="s">
        <v>48</v>
      </c>
      <c r="C40" s="113">
        <v>3</v>
      </c>
      <c r="D40" s="131" t="s">
        <v>317</v>
      </c>
      <c r="E40" s="229" t="s">
        <v>396</v>
      </c>
      <c r="F40" s="277" t="s">
        <v>49</v>
      </c>
      <c r="G40" s="235">
        <v>3</v>
      </c>
      <c r="H40" s="77"/>
      <c r="I40" s="262">
        <v>2</v>
      </c>
      <c r="J40" s="77"/>
      <c r="K40" s="77"/>
      <c r="L40" s="77"/>
      <c r="M40" s="175"/>
      <c r="N40" s="50"/>
      <c r="O40" s="50"/>
      <c r="P40" s="50"/>
      <c r="Q40" s="50"/>
      <c r="R40" s="50"/>
      <c r="S40" s="50"/>
      <c r="T40" s="1"/>
      <c r="U40" s="1"/>
      <c r="V40" s="1"/>
      <c r="W40" s="1"/>
      <c r="X40" s="1"/>
      <c r="Y40" s="1"/>
      <c r="Z40" s="1"/>
      <c r="AA40" s="1"/>
    </row>
    <row r="41" spans="2:27" ht="14.25" customHeight="1" x14ac:dyDescent="0.3">
      <c r="B41" s="113" t="s">
        <v>48</v>
      </c>
      <c r="C41" s="113">
        <v>3</v>
      </c>
      <c r="D41" s="157" t="s">
        <v>315</v>
      </c>
      <c r="E41" s="226" t="s">
        <v>35</v>
      </c>
      <c r="F41" s="119" t="s">
        <v>397</v>
      </c>
      <c r="G41" s="238">
        <v>3</v>
      </c>
      <c r="H41" s="108"/>
      <c r="I41" s="120"/>
      <c r="J41" s="60">
        <v>3</v>
      </c>
      <c r="K41" s="108"/>
      <c r="L41" s="108"/>
      <c r="M41" s="178"/>
      <c r="N41" s="50"/>
      <c r="O41" s="50"/>
      <c r="P41" s="50"/>
      <c r="U41" s="1"/>
      <c r="V41" s="1"/>
      <c r="W41" s="1"/>
      <c r="X41" s="1"/>
      <c r="Y41" s="1"/>
      <c r="Z41" s="1"/>
      <c r="AA41" s="1"/>
    </row>
    <row r="42" spans="2:27" ht="14.25" customHeight="1" x14ac:dyDescent="0.3">
      <c r="B42" s="134" t="s">
        <v>45</v>
      </c>
      <c r="C42" s="134">
        <v>2</v>
      </c>
      <c r="D42" s="133" t="s">
        <v>330</v>
      </c>
      <c r="E42" s="230" t="s">
        <v>150</v>
      </c>
      <c r="F42" s="65" t="s">
        <v>402</v>
      </c>
      <c r="G42" s="133">
        <v>2</v>
      </c>
      <c r="H42" s="83"/>
      <c r="I42" s="120"/>
      <c r="J42" s="64">
        <v>2</v>
      </c>
      <c r="K42" s="108"/>
      <c r="L42" s="108"/>
      <c r="M42" s="178"/>
      <c r="N42" s="50"/>
      <c r="O42" s="50"/>
      <c r="P42" s="50"/>
      <c r="Q42" s="50"/>
      <c r="R42" s="50"/>
      <c r="S42" s="50"/>
      <c r="T42" s="1"/>
      <c r="U42" s="1"/>
      <c r="V42" s="1"/>
      <c r="W42" s="1"/>
      <c r="X42" s="1"/>
      <c r="Y42" s="1"/>
      <c r="Z42" s="1"/>
      <c r="AA42" s="1"/>
    </row>
    <row r="43" spans="2:27" ht="14.25" customHeight="1" x14ac:dyDescent="0.3">
      <c r="B43" s="134" t="s">
        <v>45</v>
      </c>
      <c r="C43" s="134">
        <v>2</v>
      </c>
      <c r="D43" s="263" t="s">
        <v>332</v>
      </c>
      <c r="E43" s="270" t="s">
        <v>144</v>
      </c>
      <c r="F43" s="270" t="s">
        <v>403</v>
      </c>
      <c r="G43" s="278">
        <v>2</v>
      </c>
      <c r="H43" s="120"/>
      <c r="I43" s="120"/>
      <c r="J43" s="208">
        <v>2</v>
      </c>
      <c r="K43" s="120"/>
      <c r="L43" s="120"/>
      <c r="M43" s="181"/>
      <c r="N43" s="50"/>
      <c r="O43" s="50"/>
      <c r="P43" s="50"/>
      <c r="R43" s="50"/>
      <c r="S43" s="50"/>
      <c r="V43" s="1"/>
      <c r="W43" s="1"/>
      <c r="X43" s="1"/>
      <c r="Y43" s="1"/>
      <c r="Z43" s="1"/>
      <c r="AA43" s="1"/>
    </row>
    <row r="44" spans="2:27" ht="14.25" customHeight="1" x14ac:dyDescent="0.3">
      <c r="B44" s="134" t="s">
        <v>45</v>
      </c>
      <c r="C44" s="134">
        <v>2</v>
      </c>
      <c r="D44" s="264" t="s">
        <v>319</v>
      </c>
      <c r="E44" s="301" t="s">
        <v>460</v>
      </c>
      <c r="F44" s="301" t="s">
        <v>430</v>
      </c>
      <c r="G44" s="241">
        <v>2</v>
      </c>
      <c r="H44" s="85"/>
      <c r="I44" s="85"/>
      <c r="J44" s="85"/>
      <c r="K44" s="85"/>
      <c r="L44" s="85"/>
      <c r="M44" s="182"/>
      <c r="N44" s="50"/>
      <c r="O44" s="50"/>
      <c r="P44" s="50"/>
      <c r="R44" s="50"/>
      <c r="S44" s="50"/>
      <c r="V44" s="1"/>
      <c r="W44" s="1"/>
      <c r="X44" s="1"/>
      <c r="Y44" s="1"/>
      <c r="Z44" s="1"/>
      <c r="AA44" s="1"/>
    </row>
    <row r="45" spans="2:27" ht="14.25" customHeight="1" x14ac:dyDescent="0.3">
      <c r="B45" s="134" t="s">
        <v>45</v>
      </c>
      <c r="C45" s="134">
        <v>2</v>
      </c>
      <c r="D45" s="138" t="s">
        <v>319</v>
      </c>
      <c r="E45" s="301" t="s">
        <v>461</v>
      </c>
      <c r="F45" s="302" t="s">
        <v>431</v>
      </c>
      <c r="G45" s="241">
        <v>2</v>
      </c>
      <c r="H45" s="84"/>
      <c r="I45" s="85"/>
      <c r="J45" s="85"/>
      <c r="K45" s="85"/>
      <c r="L45" s="85"/>
      <c r="M45" s="182"/>
      <c r="N45" s="50"/>
      <c r="O45" s="50"/>
      <c r="P45" s="50"/>
      <c r="R45" s="50"/>
      <c r="S45" s="50"/>
      <c r="V45" s="1"/>
      <c r="W45" s="1"/>
      <c r="X45" s="1"/>
      <c r="Y45" s="1"/>
      <c r="Z45" s="1"/>
      <c r="AA45" s="1"/>
    </row>
    <row r="46" spans="2:27" ht="14.25" customHeight="1" x14ac:dyDescent="0.3">
      <c r="B46" s="134" t="s">
        <v>45</v>
      </c>
      <c r="C46" s="134">
        <v>3</v>
      </c>
      <c r="D46" s="131" t="s">
        <v>320</v>
      </c>
      <c r="E46" s="228" t="s">
        <v>52</v>
      </c>
      <c r="F46" s="58" t="s">
        <v>459</v>
      </c>
      <c r="G46" s="235">
        <v>3</v>
      </c>
      <c r="H46" s="76"/>
      <c r="I46" s="80">
        <v>3</v>
      </c>
      <c r="J46" s="77"/>
      <c r="K46" s="81"/>
      <c r="L46" s="81"/>
      <c r="M46" s="175"/>
      <c r="N46" s="50"/>
      <c r="O46" s="50"/>
      <c r="P46" s="50"/>
      <c r="R46" s="50"/>
      <c r="S46" s="50"/>
      <c r="T46" s="1"/>
      <c r="U46" s="1"/>
      <c r="V46" s="1"/>
      <c r="W46" s="1"/>
      <c r="X46" s="1"/>
      <c r="Y46" s="1"/>
      <c r="Z46" s="1"/>
      <c r="AA46" s="1"/>
    </row>
    <row r="47" spans="2:27" ht="14.25" customHeight="1" x14ac:dyDescent="0.3">
      <c r="B47" s="134" t="s">
        <v>45</v>
      </c>
      <c r="C47" s="134">
        <v>3</v>
      </c>
      <c r="D47" s="131" t="s">
        <v>321</v>
      </c>
      <c r="E47" s="228" t="s">
        <v>60</v>
      </c>
      <c r="F47" s="58" t="s">
        <v>401</v>
      </c>
      <c r="G47" s="235">
        <v>3</v>
      </c>
      <c r="H47" s="77"/>
      <c r="I47" s="81"/>
      <c r="J47" s="80">
        <v>3</v>
      </c>
      <c r="K47" s="81"/>
      <c r="L47" s="81"/>
      <c r="M47" s="175"/>
      <c r="N47" s="50"/>
      <c r="O47" s="50"/>
      <c r="P47" s="50"/>
      <c r="R47" s="50"/>
      <c r="S47" s="50"/>
      <c r="T47" s="1"/>
      <c r="U47" s="1"/>
      <c r="V47" s="1"/>
      <c r="W47" s="1"/>
      <c r="X47" s="1"/>
      <c r="Y47" s="1"/>
      <c r="Z47" s="1"/>
      <c r="AA47" s="1"/>
    </row>
    <row r="48" spans="2:27" ht="14.25" customHeight="1" x14ac:dyDescent="0.3">
      <c r="B48" s="134" t="s">
        <v>45</v>
      </c>
      <c r="C48" s="134">
        <v>3</v>
      </c>
      <c r="D48" s="157" t="s">
        <v>331</v>
      </c>
      <c r="E48" s="256" t="s">
        <v>400</v>
      </c>
      <c r="F48" s="206" t="s">
        <v>153</v>
      </c>
      <c r="G48" s="238">
        <v>3</v>
      </c>
      <c r="H48" s="108"/>
      <c r="I48" s="108"/>
      <c r="J48" s="285">
        <v>3</v>
      </c>
      <c r="K48" s="120"/>
      <c r="L48" s="120"/>
      <c r="M48" s="178"/>
      <c r="N48" s="50"/>
      <c r="O48" s="50"/>
      <c r="P48" s="50"/>
      <c r="R48" s="50"/>
      <c r="S48" s="50"/>
      <c r="T48" s="1"/>
      <c r="U48" s="1"/>
      <c r="V48" s="1"/>
      <c r="W48" s="1"/>
      <c r="X48" s="1"/>
      <c r="Y48" s="1"/>
      <c r="Z48" s="1"/>
      <c r="AA48" s="1"/>
    </row>
    <row r="49" spans="2:27" ht="14.25" customHeight="1" x14ac:dyDescent="0.3">
      <c r="B49" s="134" t="s">
        <v>45</v>
      </c>
      <c r="C49" s="134">
        <v>3</v>
      </c>
      <c r="D49" s="254" t="s">
        <v>329</v>
      </c>
      <c r="E49" s="258" t="s">
        <v>399</v>
      </c>
      <c r="F49" s="259" t="s">
        <v>158</v>
      </c>
      <c r="G49" s="260">
        <v>2</v>
      </c>
      <c r="H49" s="261"/>
      <c r="I49" s="261"/>
      <c r="J49" s="261"/>
      <c r="K49" s="124"/>
      <c r="L49" s="124"/>
      <c r="M49" s="185">
        <v>3</v>
      </c>
      <c r="N49" s="50"/>
      <c r="O49" s="50"/>
      <c r="P49" s="50"/>
      <c r="R49" s="50"/>
      <c r="S49" s="50"/>
      <c r="T49" s="1"/>
      <c r="U49" s="1"/>
      <c r="V49" s="1"/>
      <c r="W49" s="1"/>
      <c r="X49" s="1"/>
      <c r="Y49" s="1"/>
      <c r="Z49" s="1"/>
      <c r="AA49" s="1"/>
    </row>
    <row r="50" spans="2:27" ht="14.25" customHeight="1" x14ac:dyDescent="0.3">
      <c r="B50" s="108" t="s">
        <v>66</v>
      </c>
      <c r="C50" s="108">
        <v>2</v>
      </c>
      <c r="D50" s="216" t="s">
        <v>322</v>
      </c>
      <c r="E50" s="301" t="s">
        <v>462</v>
      </c>
      <c r="F50" s="302" t="s">
        <v>432</v>
      </c>
      <c r="G50" s="241">
        <v>2</v>
      </c>
      <c r="H50" s="85"/>
      <c r="I50" s="85"/>
      <c r="J50" s="85"/>
      <c r="K50" s="148"/>
      <c r="L50" s="148"/>
      <c r="M50" s="182"/>
      <c r="N50" s="50"/>
      <c r="O50" s="50"/>
      <c r="P50" s="50"/>
      <c r="R50" s="50"/>
      <c r="S50" s="50"/>
      <c r="T50" s="1"/>
      <c r="U50" s="1"/>
      <c r="V50" s="1"/>
      <c r="W50" s="1"/>
      <c r="X50" s="1"/>
      <c r="Y50" s="1"/>
      <c r="Z50" s="1"/>
      <c r="AA50" s="1"/>
    </row>
    <row r="51" spans="2:27" ht="14.25" customHeight="1" x14ac:dyDescent="0.3">
      <c r="B51" s="108" t="s">
        <v>66</v>
      </c>
      <c r="C51" s="108">
        <v>2</v>
      </c>
      <c r="D51" s="268" t="s">
        <v>322</v>
      </c>
      <c r="E51" s="301" t="s">
        <v>463</v>
      </c>
      <c r="F51" s="302" t="s">
        <v>433</v>
      </c>
      <c r="G51" s="241">
        <v>2</v>
      </c>
      <c r="H51" s="84"/>
      <c r="I51" s="85"/>
      <c r="J51" s="85"/>
      <c r="K51" s="85"/>
      <c r="L51" s="85"/>
      <c r="M51" s="182"/>
      <c r="N51" s="50"/>
      <c r="O51" s="50"/>
      <c r="P51" s="50"/>
      <c r="R51" s="50"/>
      <c r="S51" s="50"/>
      <c r="T51" s="1"/>
      <c r="U51" s="1"/>
      <c r="V51" s="1"/>
      <c r="W51" s="1"/>
      <c r="X51" s="1"/>
      <c r="Y51" s="1"/>
      <c r="Z51" s="1"/>
      <c r="AA51" s="1"/>
    </row>
    <row r="52" spans="2:27" ht="14.4" x14ac:dyDescent="0.3">
      <c r="B52" s="108" t="s">
        <v>66</v>
      </c>
      <c r="C52" s="108">
        <v>2</v>
      </c>
      <c r="D52" s="269" t="s">
        <v>324</v>
      </c>
      <c r="E52" s="275" t="s">
        <v>219</v>
      </c>
      <c r="F52" s="147" t="s">
        <v>409</v>
      </c>
      <c r="G52" s="280">
        <v>2</v>
      </c>
      <c r="H52" s="283"/>
      <c r="I52" s="283"/>
      <c r="J52" s="283"/>
      <c r="K52" s="283"/>
      <c r="L52" s="283">
        <v>2</v>
      </c>
      <c r="M52" s="287"/>
      <c r="N52" s="50"/>
      <c r="O52" s="50"/>
      <c r="P52" s="50"/>
      <c r="R52" s="50"/>
      <c r="S52" s="50"/>
      <c r="T52" s="1"/>
      <c r="U52" s="1"/>
      <c r="V52" s="1"/>
      <c r="W52" s="1"/>
      <c r="X52" s="1"/>
      <c r="Y52" s="1"/>
      <c r="Z52" s="1"/>
      <c r="AA52" s="1"/>
    </row>
    <row r="53" spans="2:27" ht="14.4" x14ac:dyDescent="0.3">
      <c r="B53" s="108" t="s">
        <v>66</v>
      </c>
      <c r="C53" s="108">
        <v>3</v>
      </c>
      <c r="D53" s="254" t="s">
        <v>474</v>
      </c>
      <c r="E53" s="274" t="s">
        <v>13</v>
      </c>
      <c r="F53" s="246" t="s">
        <v>405</v>
      </c>
      <c r="G53" s="243">
        <v>3</v>
      </c>
      <c r="H53" s="123"/>
      <c r="I53" s="123"/>
      <c r="J53" s="122"/>
      <c r="K53" s="123"/>
      <c r="L53" s="123"/>
      <c r="M53" s="184">
        <v>2</v>
      </c>
      <c r="N53" s="50"/>
      <c r="O53" s="50"/>
      <c r="P53" s="50"/>
      <c r="R53" s="50"/>
      <c r="S53" s="50"/>
      <c r="T53" s="1"/>
      <c r="U53" s="1"/>
      <c r="V53" s="1"/>
      <c r="W53" s="1"/>
      <c r="X53" s="1"/>
      <c r="Y53" s="1"/>
      <c r="Z53" s="1"/>
      <c r="AA53" s="1"/>
    </row>
    <row r="54" spans="2:27" ht="14.25" customHeight="1" x14ac:dyDescent="0.3">
      <c r="B54" s="108" t="s">
        <v>66</v>
      </c>
      <c r="C54" s="108">
        <v>2</v>
      </c>
      <c r="D54" s="254" t="s">
        <v>325</v>
      </c>
      <c r="E54" s="276" t="s">
        <v>152</v>
      </c>
      <c r="F54" s="247" t="s">
        <v>406</v>
      </c>
      <c r="G54" s="260">
        <v>2</v>
      </c>
      <c r="H54" s="261"/>
      <c r="I54" s="261"/>
      <c r="J54" s="261"/>
      <c r="K54" s="261"/>
      <c r="L54" s="261"/>
      <c r="M54" s="179">
        <v>2</v>
      </c>
      <c r="N54" s="50"/>
      <c r="O54" s="50"/>
      <c r="P54" s="50"/>
      <c r="R54" s="50"/>
      <c r="S54" s="50"/>
      <c r="T54" s="1"/>
      <c r="U54" s="1"/>
      <c r="V54" s="1"/>
      <c r="W54" s="1"/>
      <c r="X54" s="1"/>
      <c r="Y54" s="1"/>
      <c r="Z54" s="1"/>
      <c r="AA54" s="1"/>
    </row>
    <row r="55" spans="2:27" ht="14.25" customHeight="1" x14ac:dyDescent="0.3">
      <c r="B55" s="108" t="s">
        <v>66</v>
      </c>
      <c r="C55" s="108">
        <v>2</v>
      </c>
      <c r="D55" s="139" t="s">
        <v>326</v>
      </c>
      <c r="E55" s="231" t="s">
        <v>68</v>
      </c>
      <c r="F55" s="140" t="s">
        <v>407</v>
      </c>
      <c r="G55" s="242">
        <v>2</v>
      </c>
      <c r="H55" s="136"/>
      <c r="I55" s="136"/>
      <c r="J55" s="136"/>
      <c r="K55" s="136"/>
      <c r="L55" s="136"/>
      <c r="M55" s="183">
        <v>2</v>
      </c>
      <c r="N55" s="50"/>
      <c r="O55" s="50"/>
      <c r="P55" s="50"/>
      <c r="R55" s="50"/>
      <c r="S55" s="50"/>
      <c r="T55" s="1"/>
      <c r="U55" s="1"/>
      <c r="V55" s="1"/>
      <c r="W55" s="1"/>
      <c r="X55" s="1"/>
      <c r="Y55" s="1"/>
      <c r="Z55" s="1"/>
      <c r="AA55" s="1"/>
    </row>
    <row r="56" spans="2:27" ht="14.25" customHeight="1" x14ac:dyDescent="0.3">
      <c r="B56" s="108" t="s">
        <v>66</v>
      </c>
      <c r="C56" s="108">
        <v>3</v>
      </c>
      <c r="D56" s="137" t="s">
        <v>323</v>
      </c>
      <c r="E56" s="232" t="s">
        <v>408</v>
      </c>
      <c r="F56" s="92" t="s">
        <v>74</v>
      </c>
      <c r="G56" s="244">
        <v>3</v>
      </c>
      <c r="H56" s="113"/>
      <c r="I56" s="113"/>
      <c r="J56" s="113"/>
      <c r="K56" s="113"/>
      <c r="L56" s="93">
        <v>3</v>
      </c>
      <c r="M56" s="186"/>
      <c r="N56" s="50"/>
      <c r="O56" s="50"/>
      <c r="P56" s="50"/>
      <c r="R56" s="50"/>
      <c r="S56" s="50"/>
      <c r="T56" s="1"/>
      <c r="U56" s="1"/>
      <c r="V56" s="1"/>
      <c r="W56" s="1"/>
      <c r="X56" s="1"/>
      <c r="Y56" s="1"/>
      <c r="Z56" s="1"/>
      <c r="AA56" s="1"/>
    </row>
    <row r="57" spans="2:27" ht="14.25" customHeight="1" x14ac:dyDescent="0.3">
      <c r="B57" s="108" t="s">
        <v>66</v>
      </c>
      <c r="C57" s="108">
        <v>3</v>
      </c>
      <c r="D57" s="139" t="s">
        <v>327</v>
      </c>
      <c r="E57" s="231" t="s">
        <v>56</v>
      </c>
      <c r="F57" s="140" t="s">
        <v>404</v>
      </c>
      <c r="G57" s="242">
        <v>3</v>
      </c>
      <c r="H57" s="141"/>
      <c r="I57" s="141"/>
      <c r="J57" s="136"/>
      <c r="K57" s="136"/>
      <c r="L57" s="136"/>
      <c r="M57" s="183">
        <v>3</v>
      </c>
      <c r="N57" s="50"/>
      <c r="O57" s="50"/>
      <c r="P57" s="50"/>
      <c r="R57" s="50"/>
      <c r="S57" s="50"/>
      <c r="T57" s="1"/>
      <c r="U57" s="1"/>
      <c r="V57" s="1"/>
      <c r="W57" s="1"/>
      <c r="X57" s="1"/>
      <c r="Y57" s="1"/>
      <c r="Z57" s="1"/>
      <c r="AA57" s="1"/>
    </row>
    <row r="58" spans="2:27" ht="14.4" x14ac:dyDescent="0.3">
      <c r="B58" s="113" t="s">
        <v>64</v>
      </c>
      <c r="C58" s="113">
        <v>2</v>
      </c>
      <c r="D58" s="146" t="s">
        <v>473</v>
      </c>
      <c r="E58" s="233" t="s">
        <v>471</v>
      </c>
      <c r="F58" s="147" t="s">
        <v>472</v>
      </c>
      <c r="G58" s="244">
        <v>2</v>
      </c>
      <c r="H58" s="113"/>
      <c r="I58" s="113"/>
      <c r="J58" s="113"/>
      <c r="K58" s="113"/>
      <c r="L58" s="93">
        <v>2</v>
      </c>
      <c r="M58" s="187"/>
      <c r="N58" s="50"/>
      <c r="O58" s="50"/>
      <c r="P58" s="50"/>
      <c r="R58" s="50"/>
      <c r="S58" s="50"/>
      <c r="T58" s="1"/>
      <c r="U58" s="1"/>
      <c r="V58" s="1"/>
      <c r="W58" s="1"/>
      <c r="X58" s="1"/>
      <c r="Y58" s="1"/>
      <c r="Z58" s="1"/>
      <c r="AA58" s="1"/>
    </row>
    <row r="59" spans="2:27" ht="14.25" customHeight="1" x14ac:dyDescent="0.3">
      <c r="B59" s="113" t="s">
        <v>64</v>
      </c>
      <c r="C59" s="113">
        <v>6</v>
      </c>
      <c r="D59" s="146" t="s">
        <v>328</v>
      </c>
      <c r="E59" s="117" t="s">
        <v>155</v>
      </c>
      <c r="F59" s="117" t="s">
        <v>410</v>
      </c>
      <c r="G59" s="118">
        <v>6</v>
      </c>
      <c r="H59" s="113"/>
      <c r="I59" s="113"/>
      <c r="J59" s="113"/>
      <c r="K59" s="113"/>
      <c r="L59" s="113">
        <v>6</v>
      </c>
      <c r="M59" s="186"/>
      <c r="N59" s="50"/>
      <c r="O59" s="50"/>
      <c r="P59" s="50"/>
      <c r="R59" s="50"/>
      <c r="S59" s="50"/>
      <c r="T59" s="1"/>
      <c r="U59" s="1"/>
      <c r="V59" s="1"/>
      <c r="W59" s="1"/>
      <c r="X59" s="1"/>
      <c r="Y59" s="1"/>
      <c r="Z59" s="1"/>
      <c r="AA59" s="1"/>
    </row>
    <row r="60" spans="2:27" ht="14.25" customHeight="1" x14ac:dyDescent="0.3">
      <c r="B60" s="51"/>
      <c r="C60" s="51"/>
      <c r="D60" s="51"/>
      <c r="E60" s="51"/>
      <c r="F60" s="51"/>
      <c r="G60" s="51"/>
      <c r="H60" s="51"/>
      <c r="I60" s="51"/>
      <c r="J60" s="51"/>
      <c r="K60" s="51"/>
      <c r="L60" s="51"/>
      <c r="M60" s="51"/>
      <c r="N60" s="50"/>
      <c r="O60" s="50"/>
      <c r="P60" s="50"/>
      <c r="Q60" s="50"/>
      <c r="R60" s="50"/>
      <c r="S60" s="50"/>
      <c r="T60" s="1"/>
      <c r="U60" s="1"/>
      <c r="V60" s="1"/>
      <c r="W60" s="1"/>
      <c r="X60" s="1"/>
      <c r="Y60" s="1"/>
      <c r="Z60" s="1"/>
      <c r="AA60" s="1"/>
    </row>
    <row r="61" spans="2:27" ht="14.25" customHeight="1" x14ac:dyDescent="0.3">
      <c r="B61" s="218"/>
      <c r="C61" s="294">
        <v>3</v>
      </c>
      <c r="D61" s="86" t="s">
        <v>435</v>
      </c>
      <c r="E61" s="86" t="s">
        <v>437</v>
      </c>
      <c r="F61" s="83" t="s">
        <v>438</v>
      </c>
      <c r="G61" s="83" t="s">
        <v>1</v>
      </c>
      <c r="H61" s="51"/>
      <c r="I61" s="51"/>
      <c r="J61" s="51"/>
      <c r="K61" s="51"/>
      <c r="L61" s="51"/>
      <c r="M61" s="51"/>
      <c r="N61" s="50"/>
      <c r="O61" s="50"/>
      <c r="P61" s="50"/>
      <c r="Q61" s="50"/>
      <c r="R61" s="50"/>
      <c r="S61" s="50"/>
      <c r="T61" s="1"/>
      <c r="U61" s="1"/>
      <c r="V61" s="1"/>
      <c r="W61" s="1"/>
      <c r="X61" s="1"/>
      <c r="Y61" s="1"/>
      <c r="Z61" s="1"/>
      <c r="AA61" s="1"/>
    </row>
    <row r="62" spans="2:27" ht="14.25" customHeight="1" x14ac:dyDescent="0.3">
      <c r="B62" s="149" t="s">
        <v>45</v>
      </c>
      <c r="C62" s="296">
        <v>2</v>
      </c>
      <c r="D62" s="64" t="s">
        <v>333</v>
      </c>
      <c r="E62" s="65" t="s">
        <v>141</v>
      </c>
      <c r="F62" s="65" t="s">
        <v>418</v>
      </c>
      <c r="G62" s="64">
        <v>2</v>
      </c>
      <c r="H62" s="51"/>
      <c r="I62" s="51"/>
      <c r="J62" s="51"/>
      <c r="K62" s="51"/>
      <c r="L62" s="51"/>
      <c r="M62" s="51"/>
      <c r="N62" s="50"/>
      <c r="O62" s="50"/>
      <c r="P62" s="50"/>
      <c r="Q62" s="50"/>
      <c r="R62" s="50"/>
      <c r="S62" s="50"/>
      <c r="T62" s="1"/>
      <c r="U62" s="1"/>
      <c r="V62" s="1"/>
      <c r="W62" s="1"/>
      <c r="X62" s="1"/>
      <c r="Y62" s="1"/>
      <c r="Z62" s="1"/>
      <c r="AA62" s="1"/>
    </row>
    <row r="63" spans="2:27" ht="14.25" customHeight="1" x14ac:dyDescent="0.3">
      <c r="B63" s="149" t="s">
        <v>45</v>
      </c>
      <c r="C63" s="296">
        <v>2</v>
      </c>
      <c r="D63" s="61" t="s">
        <v>334</v>
      </c>
      <c r="E63" s="62" t="s">
        <v>416</v>
      </c>
      <c r="F63" s="62" t="s">
        <v>140</v>
      </c>
      <c r="G63" s="63">
        <v>2</v>
      </c>
      <c r="H63" s="51"/>
      <c r="I63" s="51"/>
      <c r="J63" s="51"/>
      <c r="K63" s="51"/>
      <c r="L63" s="51"/>
      <c r="M63" s="51"/>
      <c r="N63" s="50"/>
      <c r="O63" s="50"/>
      <c r="P63" s="50"/>
      <c r="Q63" s="50"/>
      <c r="R63" s="50"/>
      <c r="S63" s="50"/>
      <c r="T63" s="1"/>
      <c r="U63" s="1"/>
      <c r="V63" s="1"/>
      <c r="W63" s="1"/>
      <c r="X63" s="1"/>
      <c r="Y63" s="1"/>
      <c r="Z63" s="1"/>
      <c r="AA63" s="1"/>
    </row>
    <row r="64" spans="2:27" ht="14.25" customHeight="1" x14ac:dyDescent="0.3">
      <c r="B64" s="149" t="s">
        <v>66</v>
      </c>
      <c r="C64" s="296">
        <v>2</v>
      </c>
      <c r="D64" s="64" t="s">
        <v>335</v>
      </c>
      <c r="E64" s="66" t="s">
        <v>417</v>
      </c>
      <c r="F64" s="66" t="s">
        <v>142</v>
      </c>
      <c r="G64" s="64">
        <v>2</v>
      </c>
      <c r="H64" s="51"/>
      <c r="I64" s="51"/>
      <c r="J64" s="51"/>
      <c r="K64" s="51"/>
      <c r="L64" s="51"/>
      <c r="M64" s="51"/>
      <c r="N64" s="50"/>
      <c r="O64" s="50"/>
      <c r="P64" s="50"/>
      <c r="Q64" s="50"/>
      <c r="R64" s="50"/>
      <c r="S64" s="50"/>
      <c r="T64" s="1"/>
      <c r="U64" s="1"/>
      <c r="V64" s="1"/>
      <c r="W64" s="1"/>
      <c r="X64" s="1"/>
      <c r="Y64" s="1"/>
      <c r="Z64" s="1"/>
      <c r="AA64" s="1"/>
    </row>
    <row r="65" spans="2:27" ht="14.25" customHeight="1" x14ac:dyDescent="0.3">
      <c r="B65" s="149" t="s">
        <v>66</v>
      </c>
      <c r="C65" s="296">
        <v>2</v>
      </c>
      <c r="D65" s="61" t="s">
        <v>336</v>
      </c>
      <c r="E65" s="206" t="s">
        <v>419</v>
      </c>
      <c r="F65" s="206" t="s">
        <v>65</v>
      </c>
      <c r="G65" s="60">
        <v>2</v>
      </c>
      <c r="H65" s="51"/>
      <c r="I65" s="51"/>
      <c r="J65" s="51"/>
      <c r="K65" s="51"/>
      <c r="L65" s="51"/>
      <c r="M65" s="51"/>
      <c r="N65" s="50"/>
      <c r="O65" s="50"/>
      <c r="P65" s="50"/>
      <c r="Q65" s="50"/>
      <c r="R65" s="50"/>
      <c r="S65" s="50"/>
      <c r="T65" s="1"/>
      <c r="U65" s="1"/>
      <c r="V65" s="1"/>
      <c r="W65" s="1"/>
      <c r="X65" s="1"/>
      <c r="Y65" s="1"/>
      <c r="Z65" s="1"/>
      <c r="AA65" s="1"/>
    </row>
    <row r="66" spans="2:27" ht="14.25" customHeight="1" x14ac:dyDescent="0.3">
      <c r="B66" s="149" t="s">
        <v>45</v>
      </c>
      <c r="C66" s="296">
        <v>2</v>
      </c>
      <c r="D66" s="64" t="s">
        <v>337</v>
      </c>
      <c r="E66" s="65" t="s">
        <v>143</v>
      </c>
      <c r="F66" s="65" t="s">
        <v>420</v>
      </c>
      <c r="G66" s="64">
        <v>2</v>
      </c>
      <c r="H66" s="51"/>
      <c r="I66" s="51"/>
      <c r="J66" s="51"/>
      <c r="K66" s="51"/>
      <c r="L66" s="51"/>
      <c r="M66" s="51"/>
      <c r="N66" s="50"/>
      <c r="O66" s="50"/>
      <c r="P66" s="50"/>
      <c r="Q66" s="50"/>
      <c r="R66" s="50"/>
      <c r="S66" s="50"/>
      <c r="T66" s="1"/>
      <c r="U66" s="1"/>
      <c r="V66" s="1"/>
      <c r="W66" s="1"/>
      <c r="X66" s="1"/>
      <c r="Y66" s="1"/>
      <c r="Z66" s="1"/>
      <c r="AA66" s="1"/>
    </row>
    <row r="67" spans="2:27" ht="14.25" customHeight="1" x14ac:dyDescent="0.3">
      <c r="B67" s="149" t="s">
        <v>66</v>
      </c>
      <c r="C67" s="296">
        <v>2</v>
      </c>
      <c r="D67" s="64" t="s">
        <v>338</v>
      </c>
      <c r="E67" s="65" t="s">
        <v>421</v>
      </c>
      <c r="F67" s="65" t="s">
        <v>156</v>
      </c>
      <c r="G67" s="64">
        <v>2</v>
      </c>
      <c r="H67" s="51"/>
      <c r="I67" s="51"/>
      <c r="J67" s="51"/>
      <c r="K67" s="51"/>
      <c r="L67" s="51"/>
      <c r="M67" s="51"/>
      <c r="N67" s="50"/>
      <c r="O67" s="50"/>
      <c r="P67" s="50"/>
      <c r="Q67" s="50"/>
      <c r="R67" s="50"/>
      <c r="S67" s="50"/>
      <c r="T67" s="1"/>
      <c r="U67" s="1"/>
      <c r="V67" s="1"/>
      <c r="W67" s="1"/>
      <c r="X67" s="1"/>
      <c r="Y67" s="1"/>
      <c r="Z67" s="1"/>
      <c r="AA67" s="1"/>
    </row>
    <row r="68" spans="2:27" ht="14.25" customHeight="1" x14ac:dyDescent="0.3">
      <c r="B68" s="218"/>
      <c r="C68" s="297"/>
      <c r="D68" s="169" t="s">
        <v>149</v>
      </c>
      <c r="E68" s="170"/>
      <c r="F68" s="224"/>
      <c r="G68" s="217">
        <f>SUM(G62:G67)</f>
        <v>12</v>
      </c>
      <c r="H68" s="51"/>
      <c r="I68" s="51"/>
      <c r="J68" s="51"/>
      <c r="K68" s="51"/>
      <c r="L68" s="51"/>
      <c r="M68" s="51"/>
      <c r="N68" s="50"/>
      <c r="O68" s="50"/>
      <c r="P68" s="50"/>
      <c r="Q68" s="50"/>
      <c r="R68" s="50"/>
      <c r="S68" s="50"/>
      <c r="T68" s="1"/>
      <c r="U68" s="1"/>
      <c r="V68" s="1"/>
      <c r="W68" s="1"/>
      <c r="X68" s="1"/>
      <c r="Y68" s="1"/>
      <c r="Z68" s="1"/>
      <c r="AA68" s="1"/>
    </row>
    <row r="69" spans="2:27" ht="14.25" customHeight="1" x14ac:dyDescent="0.3">
      <c r="C69" s="298"/>
      <c r="H69" s="51"/>
      <c r="I69" s="51"/>
      <c r="J69" s="51"/>
      <c r="K69" s="51"/>
      <c r="L69" s="51"/>
      <c r="M69" s="51"/>
      <c r="N69" s="50"/>
      <c r="O69" s="50"/>
      <c r="P69" s="50"/>
      <c r="Q69" s="50"/>
      <c r="R69" s="50"/>
      <c r="S69" s="50"/>
      <c r="T69" s="1"/>
      <c r="U69" s="1"/>
      <c r="V69" s="1"/>
      <c r="W69" s="1"/>
      <c r="X69" s="1"/>
      <c r="Y69" s="1"/>
      <c r="Z69" s="1"/>
      <c r="AA69" s="1"/>
    </row>
    <row r="70" spans="2:27" ht="14.25" customHeight="1" x14ac:dyDescent="0.3">
      <c r="C70" s="298"/>
      <c r="D70" s="50"/>
      <c r="E70" s="50"/>
      <c r="F70" s="50"/>
      <c r="G70" s="50"/>
      <c r="H70" s="51"/>
      <c r="I70" s="51"/>
      <c r="J70" s="51"/>
      <c r="K70" s="51"/>
      <c r="L70" s="51"/>
      <c r="M70" s="51"/>
      <c r="N70" s="50"/>
      <c r="O70" s="50"/>
      <c r="P70" s="50"/>
      <c r="Q70" s="50"/>
      <c r="R70" s="50"/>
      <c r="S70" s="50"/>
      <c r="T70" s="1"/>
      <c r="U70" s="1"/>
      <c r="V70" s="1"/>
      <c r="W70" s="1"/>
      <c r="X70" s="1"/>
      <c r="Y70" s="1"/>
      <c r="Z70" s="1"/>
      <c r="AA70" s="1"/>
    </row>
    <row r="71" spans="2:27" ht="14.25" customHeight="1" x14ac:dyDescent="0.3">
      <c r="B71" s="218"/>
      <c r="C71" s="299">
        <v>2</v>
      </c>
      <c r="D71" s="87" t="s">
        <v>435</v>
      </c>
      <c r="E71" s="87" t="s">
        <v>436</v>
      </c>
      <c r="F71" s="87" t="s">
        <v>439</v>
      </c>
      <c r="G71" s="88" t="s">
        <v>1</v>
      </c>
      <c r="H71" s="51"/>
      <c r="I71" s="51"/>
      <c r="J71" s="51"/>
      <c r="K71" s="51"/>
      <c r="L71" s="51"/>
      <c r="M71" s="51"/>
      <c r="N71" s="50"/>
      <c r="O71" s="50"/>
      <c r="P71" s="50"/>
      <c r="Q71" s="50"/>
      <c r="R71" s="50"/>
      <c r="S71" s="50"/>
      <c r="T71" s="1"/>
      <c r="U71" s="1"/>
      <c r="V71" s="1"/>
      <c r="W71" s="1"/>
      <c r="X71" s="1"/>
      <c r="Y71" s="1"/>
      <c r="Z71" s="1"/>
      <c r="AA71" s="1"/>
    </row>
    <row r="72" spans="2:27" ht="14.25" customHeight="1" x14ac:dyDescent="0.3">
      <c r="B72" s="150" t="s">
        <v>45</v>
      </c>
      <c r="C72" s="299">
        <v>2</v>
      </c>
      <c r="D72" s="67" t="s">
        <v>339</v>
      </c>
      <c r="E72" s="68" t="s">
        <v>469</v>
      </c>
      <c r="F72" s="68" t="s">
        <v>468</v>
      </c>
      <c r="G72" s="69">
        <v>2</v>
      </c>
      <c r="H72" s="51"/>
      <c r="I72" s="51"/>
      <c r="J72" s="51"/>
      <c r="K72" s="51"/>
      <c r="L72" s="51"/>
      <c r="M72" s="51"/>
      <c r="N72" s="50"/>
      <c r="O72" s="50"/>
      <c r="P72" s="50"/>
      <c r="Q72" s="50"/>
      <c r="R72" s="50"/>
      <c r="S72" s="50"/>
      <c r="T72" s="1"/>
      <c r="U72" s="1"/>
      <c r="V72" s="1"/>
      <c r="W72" s="1"/>
      <c r="X72" s="1"/>
      <c r="Y72" s="1"/>
      <c r="Z72" s="1"/>
      <c r="AA72" s="1"/>
    </row>
    <row r="73" spans="2:27" ht="14.25" customHeight="1" x14ac:dyDescent="0.3">
      <c r="B73" s="150" t="s">
        <v>45</v>
      </c>
      <c r="C73" s="299">
        <v>2</v>
      </c>
      <c r="D73" s="67" t="s">
        <v>340</v>
      </c>
      <c r="E73" s="70" t="s">
        <v>51</v>
      </c>
      <c r="F73" s="70" t="s">
        <v>413</v>
      </c>
      <c r="G73" s="69">
        <v>2</v>
      </c>
      <c r="H73" s="51"/>
      <c r="I73" s="51"/>
      <c r="J73" s="51"/>
      <c r="K73" s="51"/>
      <c r="L73" s="51"/>
      <c r="M73" s="51"/>
      <c r="N73" s="50"/>
      <c r="O73" s="50"/>
      <c r="P73" s="50"/>
      <c r="Q73" s="50"/>
      <c r="R73" s="50"/>
      <c r="S73" s="50"/>
      <c r="T73" s="1"/>
      <c r="U73" s="1"/>
      <c r="V73" s="1"/>
      <c r="W73" s="1"/>
      <c r="X73" s="1"/>
      <c r="Y73" s="1"/>
      <c r="Z73" s="1"/>
      <c r="AA73" s="1"/>
    </row>
    <row r="74" spans="2:27" ht="14.25" customHeight="1" x14ac:dyDescent="0.3">
      <c r="B74" s="150" t="s">
        <v>66</v>
      </c>
      <c r="C74" s="299">
        <v>2</v>
      </c>
      <c r="D74" s="67" t="s">
        <v>341</v>
      </c>
      <c r="E74" s="70" t="s">
        <v>411</v>
      </c>
      <c r="F74" s="70" t="s">
        <v>157</v>
      </c>
      <c r="G74" s="69"/>
      <c r="H74" s="51"/>
      <c r="I74" s="51"/>
      <c r="J74" s="51"/>
      <c r="K74" s="51"/>
      <c r="L74" s="51"/>
      <c r="M74" s="51"/>
      <c r="N74" s="50"/>
      <c r="O74" s="50"/>
      <c r="P74" s="50"/>
      <c r="Q74" s="50"/>
      <c r="R74" s="50"/>
      <c r="S74" s="50"/>
      <c r="T74" s="1"/>
      <c r="U74" s="1"/>
      <c r="V74" s="1"/>
      <c r="W74" s="1"/>
      <c r="X74" s="1"/>
      <c r="Y74" s="1"/>
      <c r="Z74" s="1"/>
      <c r="AA74" s="1"/>
    </row>
    <row r="75" spans="2:27" ht="14.25" customHeight="1" x14ac:dyDescent="0.3">
      <c r="B75" s="150" t="s">
        <v>66</v>
      </c>
      <c r="C75" s="299">
        <v>2</v>
      </c>
      <c r="D75" s="67" t="s">
        <v>342</v>
      </c>
      <c r="E75" s="68" t="s">
        <v>148</v>
      </c>
      <c r="F75" s="68" t="s">
        <v>412</v>
      </c>
      <c r="G75" s="69">
        <v>2</v>
      </c>
      <c r="H75" s="51"/>
      <c r="I75" s="51"/>
      <c r="J75" s="51"/>
      <c r="K75" s="51"/>
      <c r="L75" s="51"/>
      <c r="M75" s="51"/>
      <c r="N75" s="50"/>
      <c r="O75" s="50"/>
      <c r="P75" s="50"/>
      <c r="Q75" s="50"/>
      <c r="R75" s="50"/>
      <c r="S75" s="50"/>
      <c r="T75" s="1"/>
      <c r="U75" s="1"/>
      <c r="V75" s="1"/>
      <c r="W75" s="1"/>
      <c r="X75" s="1"/>
      <c r="Y75" s="1"/>
      <c r="Z75" s="1"/>
      <c r="AA75" s="1"/>
    </row>
    <row r="76" spans="2:27" ht="14.25" customHeight="1" x14ac:dyDescent="0.3">
      <c r="B76" s="150" t="s">
        <v>45</v>
      </c>
      <c r="C76" s="299">
        <v>2</v>
      </c>
      <c r="D76" s="67" t="s">
        <v>343</v>
      </c>
      <c r="E76" s="68" t="s">
        <v>147</v>
      </c>
      <c r="F76" s="68" t="s">
        <v>414</v>
      </c>
      <c r="G76" s="69">
        <v>2</v>
      </c>
      <c r="H76" s="51"/>
      <c r="I76" s="51"/>
      <c r="J76" s="51"/>
      <c r="K76" s="51"/>
      <c r="L76" s="51"/>
      <c r="M76" s="51"/>
      <c r="N76" s="50"/>
      <c r="O76" s="50"/>
      <c r="P76" s="50"/>
      <c r="Q76" s="50"/>
      <c r="R76" s="50"/>
      <c r="S76" s="50"/>
      <c r="T76" s="1"/>
      <c r="U76" s="1"/>
      <c r="V76" s="1"/>
      <c r="W76" s="1"/>
      <c r="X76" s="1"/>
      <c r="Y76" s="1"/>
      <c r="Z76" s="1"/>
      <c r="AA76" s="1"/>
    </row>
    <row r="77" spans="2:27" ht="14.25" customHeight="1" x14ac:dyDescent="0.3">
      <c r="B77" s="150" t="s">
        <v>66</v>
      </c>
      <c r="C77" s="299">
        <v>2</v>
      </c>
      <c r="D77" s="67" t="s">
        <v>344</v>
      </c>
      <c r="E77" s="68" t="s">
        <v>145</v>
      </c>
      <c r="F77" s="68" t="s">
        <v>415</v>
      </c>
      <c r="G77" s="69">
        <v>2</v>
      </c>
      <c r="H77" s="51"/>
      <c r="I77" s="51"/>
      <c r="J77" s="51"/>
      <c r="K77" s="51"/>
      <c r="L77" s="51"/>
      <c r="M77" s="51"/>
      <c r="N77" s="50"/>
      <c r="O77" s="50"/>
      <c r="P77" s="50"/>
      <c r="Q77" s="50"/>
      <c r="R77" s="50"/>
      <c r="S77" s="50"/>
      <c r="T77" s="1"/>
      <c r="U77" s="1"/>
      <c r="V77" s="1"/>
      <c r="W77" s="1"/>
      <c r="X77" s="1"/>
      <c r="Y77" s="1"/>
      <c r="Z77" s="1"/>
      <c r="AA77" s="1"/>
    </row>
    <row r="78" spans="2:27" ht="14.25" customHeight="1" x14ac:dyDescent="0.3">
      <c r="B78" s="218"/>
      <c r="C78" s="297"/>
      <c r="D78" s="171" t="s">
        <v>149</v>
      </c>
      <c r="E78" s="172"/>
      <c r="F78" s="172"/>
      <c r="G78" s="219">
        <f>SUM(G72:G77)</f>
        <v>10</v>
      </c>
      <c r="H78" s="51"/>
      <c r="I78" s="51"/>
      <c r="J78" s="51"/>
      <c r="K78" s="51"/>
      <c r="L78" s="51"/>
      <c r="M78" s="51"/>
      <c r="N78" s="50"/>
      <c r="O78" s="50"/>
      <c r="P78" s="50"/>
      <c r="Q78" s="50"/>
      <c r="R78" s="50"/>
      <c r="S78" s="50"/>
      <c r="T78" s="1"/>
      <c r="U78" s="1"/>
      <c r="V78" s="1"/>
      <c r="W78" s="1"/>
      <c r="X78" s="1"/>
      <c r="Y78" s="1"/>
      <c r="Z78" s="1"/>
      <c r="AA78" s="1"/>
    </row>
    <row r="79" spans="2:27" ht="14.25" customHeight="1" x14ac:dyDescent="0.3">
      <c r="C79" s="298"/>
      <c r="H79" s="51"/>
      <c r="I79" s="51"/>
      <c r="J79" s="51"/>
      <c r="K79" s="51"/>
      <c r="L79" s="51"/>
      <c r="M79" s="51"/>
      <c r="N79" s="50"/>
      <c r="O79" s="50"/>
      <c r="P79" s="50"/>
      <c r="Q79" s="50"/>
      <c r="R79" s="50"/>
      <c r="S79" s="50"/>
      <c r="T79" s="1"/>
      <c r="U79" s="1"/>
      <c r="V79" s="1"/>
      <c r="W79" s="1"/>
      <c r="X79" s="1"/>
      <c r="Y79" s="1"/>
      <c r="Z79" s="1"/>
      <c r="AA79" s="1"/>
    </row>
    <row r="80" spans="2:27" ht="14.25" customHeight="1" x14ac:dyDescent="0.3">
      <c r="B80" s="218"/>
      <c r="C80" s="300">
        <v>1</v>
      </c>
      <c r="D80" s="71" t="s">
        <v>435</v>
      </c>
      <c r="E80" s="248" t="s">
        <v>434</v>
      </c>
      <c r="F80" s="248"/>
      <c r="G80" s="72" t="s">
        <v>1</v>
      </c>
      <c r="H80" s="51"/>
      <c r="I80" s="51"/>
      <c r="J80" s="51"/>
      <c r="K80" s="51"/>
      <c r="L80" s="51"/>
      <c r="M80" s="51"/>
      <c r="N80" s="50"/>
      <c r="O80" s="50"/>
      <c r="P80" s="50"/>
      <c r="Q80" s="50"/>
      <c r="R80" s="50"/>
      <c r="S80" s="50"/>
      <c r="T80" s="1"/>
      <c r="U80" s="1"/>
      <c r="V80" s="1"/>
      <c r="W80" s="1"/>
      <c r="X80" s="1"/>
      <c r="Y80" s="1"/>
      <c r="Z80" s="1"/>
      <c r="AA80" s="1"/>
    </row>
    <row r="81" spans="2:27" ht="14.25" customHeight="1" x14ac:dyDescent="0.3">
      <c r="B81" s="151" t="s">
        <v>45</v>
      </c>
      <c r="C81" s="300">
        <v>2</v>
      </c>
      <c r="D81" s="90" t="s">
        <v>345</v>
      </c>
      <c r="E81" s="221" t="s">
        <v>428</v>
      </c>
      <c r="F81" s="221" t="s">
        <v>422</v>
      </c>
      <c r="G81" s="94">
        <v>2</v>
      </c>
      <c r="H81" s="51"/>
      <c r="I81" s="51"/>
      <c r="J81" s="51"/>
      <c r="K81" s="51"/>
      <c r="L81" s="51"/>
      <c r="M81" s="51"/>
      <c r="N81" s="50"/>
      <c r="O81" s="50"/>
      <c r="P81" s="50"/>
      <c r="Q81" s="50"/>
      <c r="R81" s="50"/>
      <c r="S81" s="50"/>
      <c r="T81" s="1"/>
      <c r="U81" s="1"/>
      <c r="V81" s="1"/>
      <c r="W81" s="1"/>
      <c r="X81" s="1"/>
      <c r="Y81" s="1"/>
      <c r="Z81" s="1"/>
      <c r="AA81" s="1"/>
    </row>
    <row r="82" spans="2:27" ht="14.25" customHeight="1" x14ac:dyDescent="0.3">
      <c r="B82" s="151" t="s">
        <v>45</v>
      </c>
      <c r="C82" s="300">
        <v>2</v>
      </c>
      <c r="D82" s="90" t="s">
        <v>346</v>
      </c>
      <c r="E82" s="222" t="s">
        <v>159</v>
      </c>
      <c r="F82" s="222" t="s">
        <v>423</v>
      </c>
      <c r="G82" s="94">
        <v>2</v>
      </c>
      <c r="H82" s="51"/>
      <c r="I82" s="51"/>
      <c r="J82" s="51"/>
      <c r="K82" s="51"/>
      <c r="L82" s="51"/>
      <c r="M82" s="51"/>
      <c r="N82" s="50"/>
      <c r="O82" s="50"/>
      <c r="P82" s="50"/>
      <c r="Q82" s="50"/>
      <c r="R82" s="50"/>
      <c r="S82" s="50"/>
      <c r="T82" s="1"/>
      <c r="U82" s="1"/>
      <c r="V82" s="1"/>
      <c r="W82" s="1"/>
      <c r="X82" s="1"/>
      <c r="Y82" s="1"/>
      <c r="Z82" s="1"/>
      <c r="AA82" s="1"/>
    </row>
    <row r="83" spans="2:27" ht="14.25" customHeight="1" x14ac:dyDescent="0.3">
      <c r="B83" s="151" t="s">
        <v>66</v>
      </c>
      <c r="C83" s="300">
        <v>2</v>
      </c>
      <c r="D83" s="90" t="s">
        <v>347</v>
      </c>
      <c r="E83" s="222" t="s">
        <v>429</v>
      </c>
      <c r="F83" s="222" t="s">
        <v>426</v>
      </c>
      <c r="G83" s="90">
        <v>2</v>
      </c>
      <c r="H83" s="51"/>
      <c r="I83" s="51"/>
      <c r="J83" s="51"/>
      <c r="K83" s="51"/>
      <c r="L83" s="51"/>
      <c r="M83" s="51"/>
      <c r="N83" s="50"/>
      <c r="O83" s="50"/>
      <c r="P83" s="50"/>
      <c r="Q83" s="50"/>
      <c r="R83" s="50"/>
      <c r="S83" s="50"/>
      <c r="T83" s="1"/>
      <c r="U83" s="1"/>
      <c r="V83" s="1"/>
      <c r="W83" s="1"/>
      <c r="X83" s="1"/>
      <c r="Y83" s="1"/>
      <c r="Z83" s="1"/>
      <c r="AA83" s="1"/>
    </row>
    <row r="84" spans="2:27" ht="14.25" customHeight="1" x14ac:dyDescent="0.3">
      <c r="B84" s="151" t="s">
        <v>66</v>
      </c>
      <c r="C84" s="300">
        <v>2</v>
      </c>
      <c r="D84" s="91" t="s">
        <v>348</v>
      </c>
      <c r="E84" s="223" t="s">
        <v>249</v>
      </c>
      <c r="F84" s="223" t="s">
        <v>425</v>
      </c>
      <c r="G84" s="93">
        <v>2</v>
      </c>
      <c r="H84" s="51"/>
      <c r="I84" s="51"/>
      <c r="J84" s="51"/>
      <c r="K84" s="51"/>
      <c r="L84" s="51"/>
      <c r="M84" s="51"/>
      <c r="N84" s="50"/>
      <c r="O84" s="50"/>
      <c r="P84" s="50"/>
      <c r="Q84" s="50"/>
      <c r="R84" s="50"/>
      <c r="S84" s="50"/>
      <c r="T84" s="1"/>
      <c r="U84" s="1"/>
      <c r="V84" s="1"/>
      <c r="W84" s="1"/>
      <c r="X84" s="1"/>
      <c r="Y84" s="1"/>
      <c r="Z84" s="1"/>
      <c r="AA84" s="1"/>
    </row>
    <row r="85" spans="2:27" ht="14.25" customHeight="1" x14ac:dyDescent="0.3">
      <c r="B85" s="151" t="s">
        <v>45</v>
      </c>
      <c r="C85" s="300">
        <v>2</v>
      </c>
      <c r="D85" s="90" t="s">
        <v>349</v>
      </c>
      <c r="E85" s="221" t="s">
        <v>220</v>
      </c>
      <c r="F85" s="221" t="s">
        <v>424</v>
      </c>
      <c r="G85" s="90">
        <v>2</v>
      </c>
      <c r="H85" s="51"/>
      <c r="I85" s="51"/>
      <c r="J85" s="51"/>
      <c r="K85" s="51"/>
      <c r="L85" s="51"/>
      <c r="M85" s="51"/>
      <c r="N85" s="50"/>
      <c r="O85" s="50"/>
      <c r="P85" s="50"/>
      <c r="Q85" s="50"/>
      <c r="R85" s="50"/>
      <c r="S85" s="50"/>
      <c r="T85" s="1"/>
      <c r="U85" s="1"/>
      <c r="V85" s="1"/>
      <c r="W85" s="1"/>
      <c r="X85" s="1"/>
      <c r="Y85" s="1"/>
      <c r="Z85" s="1"/>
      <c r="AA85" s="1"/>
    </row>
    <row r="86" spans="2:27" ht="14.25" customHeight="1" x14ac:dyDescent="0.3">
      <c r="B86" s="151" t="s">
        <v>66</v>
      </c>
      <c r="C86" s="300">
        <v>2</v>
      </c>
      <c r="D86" s="90" t="s">
        <v>350</v>
      </c>
      <c r="E86" s="221" t="s">
        <v>151</v>
      </c>
      <c r="F86" s="221" t="s">
        <v>427</v>
      </c>
      <c r="G86" s="90">
        <v>2</v>
      </c>
      <c r="H86" s="51"/>
      <c r="I86" s="51"/>
      <c r="J86" s="51"/>
      <c r="K86" s="51"/>
      <c r="L86" s="51"/>
      <c r="M86" s="51"/>
      <c r="N86" s="50"/>
      <c r="O86" s="50"/>
      <c r="P86" s="50"/>
      <c r="Q86" s="50"/>
      <c r="R86" s="50"/>
      <c r="S86" s="50"/>
      <c r="T86" s="1"/>
      <c r="U86" s="1"/>
      <c r="V86" s="1"/>
      <c r="W86" s="1"/>
      <c r="X86" s="1"/>
      <c r="Y86" s="1"/>
      <c r="Z86" s="1"/>
      <c r="AA86" s="1"/>
    </row>
    <row r="87" spans="2:27" ht="14.25" customHeight="1" x14ac:dyDescent="0.3">
      <c r="B87" s="218"/>
      <c r="C87" s="297"/>
      <c r="D87" s="188" t="s">
        <v>149</v>
      </c>
      <c r="E87" s="173"/>
      <c r="F87" s="173"/>
      <c r="G87" s="220">
        <f>SUM(G81:G86)</f>
        <v>12</v>
      </c>
      <c r="H87" s="51"/>
      <c r="I87" s="51"/>
      <c r="J87" s="51"/>
      <c r="K87" s="51"/>
      <c r="L87" s="51"/>
      <c r="M87" s="51"/>
      <c r="N87" s="50"/>
      <c r="O87" s="50"/>
      <c r="P87" s="50"/>
      <c r="Q87" s="50"/>
      <c r="R87" s="50"/>
      <c r="S87" s="50"/>
      <c r="T87" s="1"/>
      <c r="U87" s="1"/>
      <c r="V87" s="1"/>
      <c r="W87" s="1"/>
      <c r="X87" s="1"/>
      <c r="Y87" s="1"/>
      <c r="Z87" s="1"/>
      <c r="AA87" s="1"/>
    </row>
    <row r="88" spans="2:27" ht="14.25" customHeight="1" x14ac:dyDescent="0.3">
      <c r="C88" s="298"/>
      <c r="H88" s="51"/>
      <c r="I88" s="51"/>
      <c r="J88" s="51"/>
      <c r="K88" s="51"/>
      <c r="L88" s="51"/>
      <c r="M88" s="51"/>
      <c r="N88" s="50"/>
      <c r="O88" s="50"/>
      <c r="P88" s="50"/>
      <c r="Q88" s="50"/>
      <c r="R88" s="50"/>
      <c r="S88" s="50"/>
      <c r="T88" s="1"/>
      <c r="U88" s="1"/>
      <c r="V88" s="1"/>
      <c r="W88" s="1"/>
      <c r="X88" s="1"/>
      <c r="Y88" s="1"/>
      <c r="Z88" s="1"/>
      <c r="AA88" s="1"/>
    </row>
    <row r="89" spans="2:27" ht="14.25" customHeight="1" x14ac:dyDescent="0.3">
      <c r="C89" s="298"/>
      <c r="H89" s="51"/>
      <c r="I89" s="51"/>
      <c r="J89" s="51"/>
      <c r="K89" s="51"/>
      <c r="L89" s="51"/>
      <c r="M89" s="51"/>
      <c r="N89" s="50"/>
      <c r="O89" s="50"/>
      <c r="P89" s="50"/>
      <c r="Q89" s="50"/>
      <c r="R89" s="50"/>
      <c r="S89" s="50"/>
      <c r="T89" s="1"/>
      <c r="U89" s="1"/>
      <c r="V89" s="1"/>
      <c r="W89" s="1"/>
      <c r="X89" s="1"/>
      <c r="Y89" s="1"/>
      <c r="Z89" s="1"/>
      <c r="AA89" s="1"/>
    </row>
    <row r="90" spans="2:27" ht="14.25" customHeight="1" x14ac:dyDescent="0.3">
      <c r="B90" s="50"/>
      <c r="C90" s="298"/>
      <c r="D90" s="163" t="s">
        <v>164</v>
      </c>
      <c r="E90" s="164"/>
      <c r="F90" s="164"/>
      <c r="G90" s="125" t="s">
        <v>1</v>
      </c>
      <c r="H90" s="51"/>
      <c r="I90" s="51"/>
      <c r="J90" s="51"/>
      <c r="K90" s="51"/>
      <c r="L90" s="51"/>
      <c r="M90" s="51"/>
      <c r="N90" s="50"/>
      <c r="O90" s="50"/>
      <c r="P90" s="50"/>
      <c r="Q90" s="50"/>
      <c r="R90" s="50"/>
      <c r="S90" s="50"/>
      <c r="T90" s="1"/>
      <c r="U90" s="1"/>
      <c r="V90" s="1"/>
      <c r="W90" s="1"/>
      <c r="X90" s="1"/>
      <c r="Y90" s="1"/>
      <c r="Z90" s="1"/>
      <c r="AA90" s="1"/>
    </row>
    <row r="91" spans="2:27" ht="14.25" customHeight="1" x14ac:dyDescent="0.3">
      <c r="B91" s="251">
        <v>5</v>
      </c>
      <c r="C91" s="295">
        <v>1</v>
      </c>
      <c r="D91" s="126" t="s">
        <v>352</v>
      </c>
      <c r="E91" s="126" t="s">
        <v>221</v>
      </c>
      <c r="F91" s="126" t="s">
        <v>442</v>
      </c>
      <c r="G91" s="249">
        <v>1</v>
      </c>
      <c r="H91" s="51"/>
      <c r="I91" s="51"/>
      <c r="J91" s="51"/>
      <c r="K91" s="51"/>
      <c r="L91" s="51"/>
      <c r="M91" s="51"/>
      <c r="N91" s="50"/>
      <c r="O91" s="50"/>
      <c r="P91" s="50"/>
      <c r="Q91" s="50"/>
      <c r="R91" s="50"/>
      <c r="S91" s="50"/>
      <c r="T91" s="1"/>
      <c r="U91" s="1"/>
      <c r="V91" s="1"/>
      <c r="W91" s="1"/>
      <c r="X91" s="1"/>
      <c r="Y91" s="1"/>
      <c r="Z91" s="1"/>
      <c r="AA91" s="1"/>
    </row>
    <row r="92" spans="2:27" ht="14.25" customHeight="1" x14ac:dyDescent="0.3">
      <c r="B92" s="251">
        <v>5</v>
      </c>
      <c r="C92" s="295">
        <v>2</v>
      </c>
      <c r="D92" s="126" t="s">
        <v>353</v>
      </c>
      <c r="E92" s="126" t="s">
        <v>222</v>
      </c>
      <c r="F92" s="126" t="s">
        <v>443</v>
      </c>
      <c r="G92" s="250">
        <v>2</v>
      </c>
      <c r="H92" s="51"/>
      <c r="I92" s="51"/>
      <c r="J92" s="51"/>
      <c r="K92" s="51"/>
      <c r="L92" s="51"/>
      <c r="M92" s="51"/>
      <c r="N92" s="50"/>
      <c r="O92" s="50"/>
      <c r="P92" s="50"/>
      <c r="Q92" s="50"/>
      <c r="R92" s="50"/>
      <c r="S92" s="50"/>
      <c r="T92" s="1"/>
      <c r="U92" s="1"/>
      <c r="V92" s="1"/>
      <c r="W92" s="1"/>
      <c r="X92" s="1"/>
      <c r="Y92" s="1"/>
      <c r="Z92" s="1"/>
      <c r="AA92" s="1"/>
    </row>
    <row r="93" spans="2:27" ht="14.25" customHeight="1" x14ac:dyDescent="0.3">
      <c r="B93" s="251">
        <v>5</v>
      </c>
      <c r="C93" s="295">
        <v>3</v>
      </c>
      <c r="D93" s="126" t="s">
        <v>354</v>
      </c>
      <c r="E93" s="126" t="s">
        <v>223</v>
      </c>
      <c r="F93" s="126" t="s">
        <v>444</v>
      </c>
      <c r="G93" s="250">
        <v>3</v>
      </c>
      <c r="H93" s="51"/>
      <c r="I93" s="51"/>
      <c r="J93" s="51"/>
      <c r="K93" s="51"/>
      <c r="L93" s="51"/>
      <c r="M93" s="51"/>
      <c r="N93" s="1"/>
      <c r="O93" s="50"/>
      <c r="P93" s="50"/>
      <c r="Q93" s="1"/>
      <c r="R93" s="1"/>
      <c r="S93" s="1"/>
      <c r="T93" s="1"/>
      <c r="U93" s="1"/>
      <c r="V93" s="1"/>
      <c r="W93" s="1"/>
      <c r="X93" s="1"/>
      <c r="Y93" s="1"/>
      <c r="Z93" s="1"/>
      <c r="AA93" s="1"/>
    </row>
    <row r="94" spans="2:27" ht="14.25" customHeight="1" x14ac:dyDescent="0.3">
      <c r="B94" s="251">
        <v>5</v>
      </c>
      <c r="C94" s="295">
        <v>4</v>
      </c>
      <c r="D94" s="126" t="s">
        <v>355</v>
      </c>
      <c r="E94" s="126" t="s">
        <v>224</v>
      </c>
      <c r="F94" s="126" t="s">
        <v>445</v>
      </c>
      <c r="G94" s="251">
        <v>4</v>
      </c>
      <c r="H94" s="51"/>
      <c r="I94" s="51"/>
      <c r="J94" s="51"/>
      <c r="K94" s="51"/>
      <c r="L94" s="51"/>
      <c r="M94" s="51"/>
      <c r="N94" s="1"/>
      <c r="O94" s="50"/>
      <c r="P94" s="50"/>
      <c r="Q94" s="1"/>
      <c r="R94" s="1"/>
      <c r="S94" s="1"/>
      <c r="T94" s="1"/>
      <c r="U94" s="1"/>
      <c r="V94" s="1"/>
      <c r="W94" s="1"/>
      <c r="X94" s="1"/>
      <c r="Y94" s="1"/>
      <c r="Z94" s="1"/>
      <c r="AA94" s="1"/>
    </row>
    <row r="95" spans="2:27" ht="14.25" customHeight="1" x14ac:dyDescent="0.3">
      <c r="B95" s="251">
        <v>5</v>
      </c>
      <c r="C95" s="295">
        <v>5</v>
      </c>
      <c r="D95" s="126" t="s">
        <v>356</v>
      </c>
      <c r="E95" s="126" t="s">
        <v>225</v>
      </c>
      <c r="F95" s="126" t="s">
        <v>446</v>
      </c>
      <c r="G95" s="251">
        <v>5</v>
      </c>
      <c r="H95" s="51"/>
      <c r="I95" s="51"/>
      <c r="J95" s="51"/>
      <c r="K95" s="51"/>
      <c r="L95" s="51"/>
      <c r="M95" s="51"/>
      <c r="N95" s="1"/>
      <c r="O95" s="50"/>
      <c r="P95" s="50"/>
      <c r="Q95" s="1"/>
      <c r="R95" s="1"/>
      <c r="S95" s="1"/>
      <c r="T95" s="1"/>
      <c r="U95" s="1"/>
      <c r="V95" s="1"/>
      <c r="W95" s="1"/>
      <c r="X95" s="1"/>
      <c r="Y95" s="1"/>
      <c r="Z95" s="1"/>
      <c r="AA95" s="1"/>
    </row>
    <row r="96" spans="2:27" ht="14.25" customHeight="1" x14ac:dyDescent="0.3">
      <c r="B96" s="251">
        <v>5</v>
      </c>
      <c r="C96" s="295">
        <v>6</v>
      </c>
      <c r="D96" s="126" t="s">
        <v>357</v>
      </c>
      <c r="E96" s="126" t="s">
        <v>226</v>
      </c>
      <c r="F96" s="126" t="s">
        <v>447</v>
      </c>
      <c r="G96" s="251">
        <v>6</v>
      </c>
      <c r="H96" s="51"/>
      <c r="I96" s="51"/>
      <c r="J96" s="51"/>
      <c r="K96" s="51"/>
      <c r="L96" s="51"/>
      <c r="M96" s="51"/>
      <c r="N96" s="1"/>
      <c r="O96" s="50"/>
      <c r="P96" s="50"/>
      <c r="Q96" s="1"/>
      <c r="R96" s="1"/>
      <c r="S96" s="1"/>
      <c r="T96" s="1"/>
      <c r="U96" s="1"/>
      <c r="V96" s="1"/>
      <c r="W96" s="1"/>
      <c r="X96" s="1"/>
      <c r="Y96" s="1"/>
      <c r="Z96" s="1"/>
      <c r="AA96" s="1"/>
    </row>
    <row r="97" spans="2:27" ht="14.25" customHeight="1" x14ac:dyDescent="0.3">
      <c r="B97" s="1"/>
      <c r="C97" s="298"/>
      <c r="D97" s="165" t="s">
        <v>149</v>
      </c>
      <c r="E97" s="166"/>
      <c r="F97" s="166"/>
      <c r="G97" s="252">
        <f>SUM(G90:G96)</f>
        <v>21</v>
      </c>
      <c r="H97" s="51"/>
      <c r="I97" s="51"/>
      <c r="J97" s="51"/>
      <c r="K97" s="51"/>
      <c r="L97" s="51"/>
      <c r="M97" s="51"/>
      <c r="N97" s="1"/>
      <c r="O97" s="50"/>
      <c r="P97" s="50"/>
      <c r="Q97" s="1"/>
      <c r="R97" s="1"/>
      <c r="S97" s="1"/>
      <c r="T97" s="1"/>
      <c r="U97" s="1"/>
      <c r="V97" s="1"/>
      <c r="W97" s="1"/>
      <c r="X97" s="1"/>
      <c r="Y97" s="1"/>
      <c r="Z97" s="1"/>
      <c r="AA97" s="1"/>
    </row>
    <row r="98" spans="2:27" ht="14.25" customHeight="1" x14ac:dyDescent="0.3">
      <c r="B98" s="1"/>
      <c r="C98" s="298"/>
      <c r="D98" s="1"/>
      <c r="E98" s="1"/>
      <c r="F98" s="1"/>
      <c r="G98" s="1"/>
      <c r="H98" s="51"/>
      <c r="I98" s="51"/>
      <c r="J98" s="51"/>
      <c r="K98" s="51"/>
      <c r="L98" s="51"/>
      <c r="M98" s="51"/>
      <c r="N98" s="1"/>
      <c r="O98" s="50"/>
      <c r="P98" s="50"/>
      <c r="Q98" s="1"/>
      <c r="R98" s="1"/>
      <c r="S98" s="1"/>
      <c r="T98" s="1"/>
      <c r="U98" s="1"/>
      <c r="V98" s="1"/>
      <c r="W98" s="1"/>
      <c r="X98" s="1"/>
      <c r="Y98" s="1"/>
      <c r="Z98" s="1"/>
      <c r="AA98" s="1"/>
    </row>
    <row r="99" spans="2:27" ht="14.25" customHeight="1" x14ac:dyDescent="0.3">
      <c r="B99" s="1"/>
      <c r="C99" s="298"/>
      <c r="D99" s="163" t="s">
        <v>164</v>
      </c>
      <c r="E99" s="164"/>
      <c r="F99" s="164"/>
      <c r="G99" s="125" t="s">
        <v>1</v>
      </c>
      <c r="H99" s="51"/>
      <c r="I99" s="51"/>
      <c r="J99" s="51"/>
      <c r="K99" s="51"/>
      <c r="L99" s="51"/>
      <c r="M99" s="51"/>
      <c r="N99" s="1"/>
      <c r="O99" s="50"/>
      <c r="P99" s="50"/>
      <c r="Q99" s="1"/>
      <c r="R99" s="1"/>
      <c r="S99" s="1"/>
      <c r="T99" s="1"/>
      <c r="U99" s="1"/>
      <c r="V99" s="1"/>
      <c r="W99" s="1"/>
      <c r="X99" s="1"/>
      <c r="Y99" s="1"/>
      <c r="Z99" s="1"/>
      <c r="AA99" s="1"/>
    </row>
    <row r="100" spans="2:27" ht="14.25" customHeight="1" x14ac:dyDescent="0.3">
      <c r="B100" s="251">
        <v>6</v>
      </c>
      <c r="C100" s="295">
        <v>1</v>
      </c>
      <c r="D100" s="126" t="s">
        <v>358</v>
      </c>
      <c r="E100" s="126" t="s">
        <v>227</v>
      </c>
      <c r="F100" s="126" t="s">
        <v>448</v>
      </c>
      <c r="G100" s="249">
        <v>1</v>
      </c>
      <c r="H100" s="51"/>
      <c r="I100" s="51"/>
      <c r="J100" s="51"/>
      <c r="K100" s="51"/>
      <c r="L100" s="51"/>
      <c r="M100" s="51"/>
      <c r="N100" s="1"/>
      <c r="O100" s="50"/>
      <c r="P100" s="50"/>
      <c r="Q100" s="1"/>
      <c r="R100" s="1"/>
      <c r="S100" s="1"/>
      <c r="T100" s="1"/>
      <c r="U100" s="1"/>
      <c r="V100" s="1"/>
      <c r="W100" s="1"/>
      <c r="X100" s="1"/>
      <c r="Y100" s="1"/>
      <c r="Z100" s="1"/>
      <c r="AA100" s="1"/>
    </row>
    <row r="101" spans="2:27" ht="14.25" customHeight="1" x14ac:dyDescent="0.3">
      <c r="B101" s="251">
        <v>6</v>
      </c>
      <c r="C101" s="295">
        <v>2</v>
      </c>
      <c r="D101" s="126" t="s">
        <v>359</v>
      </c>
      <c r="E101" s="126" t="s">
        <v>228</v>
      </c>
      <c r="F101" s="126" t="s">
        <v>449</v>
      </c>
      <c r="G101" s="250">
        <v>2</v>
      </c>
      <c r="H101" s="51"/>
      <c r="I101" s="51"/>
      <c r="J101" s="51"/>
      <c r="K101" s="51"/>
      <c r="L101" s="51"/>
      <c r="M101" s="51"/>
      <c r="N101" s="1"/>
      <c r="O101" s="50"/>
      <c r="P101" s="50"/>
      <c r="Q101" s="1"/>
      <c r="R101" s="1"/>
      <c r="S101" s="1"/>
      <c r="T101" s="1"/>
      <c r="U101" s="1"/>
      <c r="V101" s="1"/>
      <c r="W101" s="1"/>
      <c r="X101" s="1"/>
      <c r="Y101" s="1"/>
      <c r="Z101" s="1"/>
      <c r="AA101" s="1"/>
    </row>
    <row r="102" spans="2:27" ht="14.25" customHeight="1" x14ac:dyDescent="0.3">
      <c r="B102" s="251">
        <v>6</v>
      </c>
      <c r="C102" s="295">
        <v>3</v>
      </c>
      <c r="D102" s="126" t="s">
        <v>360</v>
      </c>
      <c r="E102" s="126" t="s">
        <v>229</v>
      </c>
      <c r="F102" s="126" t="s">
        <v>450</v>
      </c>
      <c r="G102" s="250">
        <v>3</v>
      </c>
      <c r="H102" s="51"/>
      <c r="I102" s="51"/>
      <c r="J102" s="51"/>
      <c r="K102" s="51"/>
      <c r="L102" s="51"/>
      <c r="M102" s="51"/>
      <c r="N102" s="1"/>
      <c r="O102" s="50"/>
      <c r="P102" s="50"/>
      <c r="Q102" s="1"/>
      <c r="R102" s="1"/>
      <c r="S102" s="1"/>
      <c r="T102" s="1"/>
      <c r="U102" s="1"/>
      <c r="V102" s="1"/>
      <c r="W102" s="1"/>
      <c r="X102" s="1"/>
      <c r="Y102" s="1"/>
      <c r="Z102" s="1"/>
      <c r="AA102" s="1"/>
    </row>
    <row r="103" spans="2:27" ht="14.25" customHeight="1" x14ac:dyDescent="0.3">
      <c r="B103" s="251">
        <v>6</v>
      </c>
      <c r="C103" s="295">
        <v>4</v>
      </c>
      <c r="D103" s="126" t="s">
        <v>361</v>
      </c>
      <c r="E103" s="126" t="s">
        <v>230</v>
      </c>
      <c r="F103" s="126" t="s">
        <v>451</v>
      </c>
      <c r="G103" s="251">
        <v>4</v>
      </c>
      <c r="H103" s="51"/>
      <c r="I103" s="51"/>
      <c r="J103" s="51"/>
      <c r="K103" s="51"/>
      <c r="L103" s="51"/>
      <c r="M103" s="51"/>
      <c r="N103" s="1"/>
      <c r="O103" s="50"/>
      <c r="P103" s="50"/>
      <c r="Q103" s="1"/>
      <c r="R103" s="1"/>
      <c r="S103" s="1"/>
      <c r="T103" s="1"/>
      <c r="U103" s="1"/>
      <c r="V103" s="1"/>
      <c r="W103" s="1"/>
      <c r="X103" s="1"/>
      <c r="Y103" s="1"/>
      <c r="Z103" s="1"/>
      <c r="AA103" s="1"/>
    </row>
    <row r="104" spans="2:27" ht="14.25" customHeight="1" x14ac:dyDescent="0.3">
      <c r="B104" s="251">
        <v>6</v>
      </c>
      <c r="C104" s="295">
        <v>5</v>
      </c>
      <c r="D104" s="126" t="s">
        <v>362</v>
      </c>
      <c r="E104" s="126" t="s">
        <v>231</v>
      </c>
      <c r="F104" s="126" t="s">
        <v>452</v>
      </c>
      <c r="G104" s="251">
        <v>5</v>
      </c>
      <c r="H104" s="51"/>
      <c r="I104" s="51"/>
      <c r="J104" s="51"/>
      <c r="K104" s="51"/>
      <c r="L104" s="51"/>
      <c r="M104" s="51"/>
      <c r="N104" s="1"/>
      <c r="O104" s="50"/>
      <c r="P104" s="50"/>
      <c r="Q104" s="1"/>
      <c r="R104" s="1"/>
      <c r="S104" s="1"/>
      <c r="T104" s="1"/>
      <c r="U104" s="1"/>
      <c r="V104" s="1"/>
      <c r="W104" s="1"/>
      <c r="X104" s="1"/>
      <c r="Y104" s="1"/>
      <c r="Z104" s="1"/>
      <c r="AA104" s="1"/>
    </row>
    <row r="105" spans="2:27" ht="14.25" customHeight="1" x14ac:dyDescent="0.3">
      <c r="B105" s="251">
        <v>6</v>
      </c>
      <c r="C105" s="295">
        <v>6</v>
      </c>
      <c r="D105" s="126" t="s">
        <v>363</v>
      </c>
      <c r="E105" s="126" t="s">
        <v>232</v>
      </c>
      <c r="F105" s="126" t="s">
        <v>453</v>
      </c>
      <c r="G105" s="251">
        <v>6</v>
      </c>
      <c r="H105" s="51"/>
      <c r="I105" s="51"/>
      <c r="J105" s="51"/>
      <c r="K105" s="51"/>
      <c r="L105" s="51"/>
      <c r="M105" s="51"/>
      <c r="N105" s="1"/>
      <c r="O105" s="50"/>
      <c r="P105" s="50"/>
      <c r="Q105" s="1"/>
      <c r="R105" s="1"/>
      <c r="S105" s="1"/>
      <c r="T105" s="1"/>
      <c r="U105" s="1"/>
      <c r="V105" s="1"/>
      <c r="W105" s="1"/>
      <c r="X105" s="1"/>
      <c r="Y105" s="1"/>
      <c r="Z105" s="1"/>
      <c r="AA105" s="1"/>
    </row>
    <row r="106" spans="2:27" ht="14.25" customHeight="1" x14ac:dyDescent="0.3">
      <c r="B106" s="1"/>
      <c r="C106" s="298"/>
      <c r="D106" s="165" t="s">
        <v>149</v>
      </c>
      <c r="E106" s="166"/>
      <c r="F106" s="166"/>
      <c r="G106" s="252">
        <f>SUM(G99:G105)</f>
        <v>21</v>
      </c>
      <c r="H106" s="51"/>
      <c r="I106" s="51"/>
      <c r="J106" s="51"/>
      <c r="K106" s="51"/>
      <c r="L106" s="51"/>
      <c r="M106" s="51"/>
      <c r="N106" s="1"/>
      <c r="O106" s="50"/>
      <c r="P106" s="50"/>
      <c r="Q106" s="1"/>
      <c r="R106" s="1"/>
      <c r="S106" s="1"/>
      <c r="T106" s="1"/>
      <c r="U106" s="1"/>
      <c r="V106" s="1"/>
      <c r="W106" s="1"/>
      <c r="X106" s="1"/>
      <c r="Y106" s="1"/>
      <c r="Z106" s="1"/>
      <c r="AA106" s="1"/>
    </row>
    <row r="107" spans="2:27" ht="14.25" customHeight="1" x14ac:dyDescent="0.3">
      <c r="B107" s="1"/>
      <c r="C107" s="298"/>
      <c r="D107" s="89"/>
      <c r="E107" s="167"/>
      <c r="F107" s="167"/>
      <c r="G107" s="168"/>
      <c r="H107" s="51"/>
      <c r="I107" s="51"/>
      <c r="J107" s="51"/>
      <c r="K107" s="51"/>
      <c r="L107" s="51"/>
      <c r="M107" s="51"/>
      <c r="N107" s="1"/>
      <c r="O107" s="50"/>
      <c r="P107" s="50"/>
      <c r="Q107" s="1"/>
      <c r="R107" s="1"/>
      <c r="S107" s="1"/>
      <c r="T107" s="1"/>
      <c r="U107" s="1"/>
      <c r="V107" s="1"/>
      <c r="W107" s="1"/>
      <c r="X107" s="1"/>
      <c r="Y107" s="1"/>
      <c r="Z107" s="1"/>
      <c r="AA107" s="1"/>
    </row>
    <row r="108" spans="2:27" ht="14.25" customHeight="1" x14ac:dyDescent="0.3">
      <c r="B108" s="1"/>
      <c r="C108" s="298"/>
      <c r="D108" s="126"/>
      <c r="E108" s="127" t="s">
        <v>470</v>
      </c>
      <c r="F108" s="127"/>
      <c r="G108" s="250">
        <v>20</v>
      </c>
      <c r="H108" s="51"/>
      <c r="I108" s="51"/>
      <c r="J108" s="51"/>
      <c r="K108" s="51"/>
      <c r="L108" s="51"/>
      <c r="M108" s="51"/>
      <c r="N108" s="1"/>
      <c r="O108" s="50"/>
      <c r="P108" s="50"/>
      <c r="Q108" s="1"/>
      <c r="R108" s="1"/>
      <c r="S108" s="1"/>
      <c r="T108" s="1"/>
      <c r="U108" s="1"/>
      <c r="V108" s="1"/>
      <c r="W108" s="1"/>
      <c r="X108" s="1"/>
      <c r="Y108" s="1"/>
      <c r="Z108" s="1"/>
      <c r="AA108" s="1"/>
    </row>
    <row r="109" spans="2:27" ht="14.25" customHeight="1" x14ac:dyDescent="0.3">
      <c r="B109" s="1"/>
      <c r="C109" s="298"/>
      <c r="D109" s="1"/>
      <c r="E109" s="1"/>
      <c r="F109" s="1"/>
      <c r="G109" s="1"/>
      <c r="H109" s="51"/>
      <c r="I109" s="51"/>
      <c r="J109" s="51"/>
      <c r="K109" s="51"/>
      <c r="L109" s="51"/>
      <c r="M109" s="51"/>
      <c r="N109" s="1"/>
      <c r="O109" s="50"/>
      <c r="P109" s="50"/>
      <c r="Q109" s="1"/>
      <c r="R109" s="1"/>
      <c r="S109" s="1"/>
      <c r="T109" s="1"/>
      <c r="U109" s="1"/>
      <c r="V109" s="1"/>
      <c r="W109" s="1"/>
      <c r="X109" s="1"/>
      <c r="Y109" s="1"/>
      <c r="Z109" s="1"/>
      <c r="AA109" s="1"/>
    </row>
    <row r="110" spans="2:27" ht="14.25" customHeight="1" x14ac:dyDescent="0.3">
      <c r="B110" s="1"/>
      <c r="C110" s="298"/>
      <c r="D110" s="304" t="s">
        <v>282</v>
      </c>
      <c r="E110" s="116" t="s">
        <v>3</v>
      </c>
      <c r="F110" s="305" t="s">
        <v>475</v>
      </c>
      <c r="G110" s="1"/>
      <c r="H110" s="51"/>
      <c r="I110" s="51"/>
      <c r="J110" s="51"/>
      <c r="K110" s="51"/>
      <c r="L110" s="51"/>
      <c r="M110" s="51"/>
      <c r="N110" s="1"/>
      <c r="O110" s="50"/>
      <c r="P110" s="50"/>
      <c r="Q110" s="1"/>
      <c r="R110" s="1"/>
      <c r="S110" s="1"/>
      <c r="T110" s="1"/>
      <c r="U110" s="1"/>
      <c r="V110" s="1"/>
      <c r="W110" s="1"/>
      <c r="X110" s="1"/>
      <c r="Y110" s="1"/>
      <c r="Z110" s="1"/>
      <c r="AA110" s="1"/>
    </row>
    <row r="111" spans="2:27" ht="14.25" customHeight="1" x14ac:dyDescent="0.3">
      <c r="B111" s="1"/>
      <c r="C111" s="298"/>
      <c r="D111" s="304" t="s">
        <v>283</v>
      </c>
      <c r="E111" s="116" t="s">
        <v>7</v>
      </c>
      <c r="F111" s="305" t="s">
        <v>476</v>
      </c>
      <c r="G111" s="1"/>
      <c r="H111" s="51"/>
      <c r="I111" s="51"/>
      <c r="J111" s="51"/>
      <c r="K111" s="51"/>
      <c r="L111" s="51"/>
      <c r="M111" s="51"/>
      <c r="N111" s="1"/>
      <c r="O111" s="50"/>
      <c r="P111" s="50"/>
      <c r="Q111" s="1"/>
      <c r="R111" s="1"/>
      <c r="S111" s="1"/>
      <c r="T111" s="1"/>
      <c r="U111" s="1"/>
      <c r="V111" s="1"/>
      <c r="W111" s="1"/>
      <c r="X111" s="1"/>
      <c r="Y111" s="1"/>
      <c r="Z111" s="1"/>
      <c r="AA111" s="1"/>
    </row>
    <row r="112" spans="2:27" ht="14.25" customHeight="1" x14ac:dyDescent="0.3">
      <c r="B112" s="1"/>
      <c r="C112" s="298"/>
      <c r="D112" s="304" t="s">
        <v>284</v>
      </c>
      <c r="E112" s="116" t="s">
        <v>8</v>
      </c>
      <c r="F112" s="305" t="s">
        <v>477</v>
      </c>
      <c r="G112" s="1"/>
      <c r="H112" s="51"/>
      <c r="I112" s="51"/>
      <c r="J112" s="51"/>
      <c r="K112" s="51"/>
      <c r="L112" s="51"/>
      <c r="M112" s="51"/>
      <c r="N112" s="1"/>
      <c r="O112" s="50"/>
      <c r="P112" s="50"/>
      <c r="Q112" s="1"/>
      <c r="R112" s="1"/>
      <c r="S112" s="1"/>
      <c r="T112" s="1"/>
      <c r="U112" s="1"/>
      <c r="V112" s="1"/>
      <c r="W112" s="1"/>
      <c r="X112" s="1"/>
      <c r="Y112" s="1"/>
      <c r="Z112" s="1"/>
      <c r="AA112" s="1"/>
    </row>
    <row r="113" spans="2:27" ht="14.25" customHeight="1" x14ac:dyDescent="0.3">
      <c r="B113" s="1"/>
      <c r="C113" s="298"/>
      <c r="D113" s="304" t="s">
        <v>285</v>
      </c>
      <c r="E113" s="116" t="s">
        <v>9</v>
      </c>
      <c r="F113" s="305" t="s">
        <v>478</v>
      </c>
      <c r="G113" s="1"/>
      <c r="H113" s="51"/>
      <c r="I113" s="51"/>
      <c r="J113" s="51"/>
      <c r="K113" s="51"/>
      <c r="L113" s="51"/>
      <c r="M113" s="51"/>
      <c r="N113" s="1"/>
      <c r="O113" s="50"/>
      <c r="P113" s="50"/>
      <c r="Q113" s="1"/>
      <c r="R113" s="1"/>
      <c r="S113" s="1"/>
      <c r="T113" s="1"/>
      <c r="U113" s="1"/>
      <c r="V113" s="1"/>
      <c r="W113" s="1"/>
      <c r="X113" s="1"/>
      <c r="Y113" s="1"/>
      <c r="Z113" s="1"/>
      <c r="AA113" s="1"/>
    </row>
    <row r="114" spans="2:27" ht="14.25" customHeight="1" x14ac:dyDescent="0.3">
      <c r="B114" s="1"/>
      <c r="C114" s="298"/>
      <c r="D114" s="1"/>
      <c r="E114" s="1"/>
      <c r="F114" s="1"/>
      <c r="G114" s="1"/>
      <c r="H114" s="51"/>
      <c r="I114" s="51"/>
      <c r="J114" s="51"/>
      <c r="K114" s="51"/>
      <c r="L114" s="51"/>
      <c r="M114" s="51"/>
      <c r="N114" s="1"/>
      <c r="O114" s="50"/>
      <c r="P114" s="50"/>
      <c r="Q114" s="1"/>
      <c r="R114" s="1"/>
      <c r="S114" s="1"/>
      <c r="T114" s="1"/>
      <c r="U114" s="1"/>
      <c r="V114" s="1"/>
      <c r="W114" s="1"/>
      <c r="X114" s="1"/>
      <c r="Y114" s="1"/>
      <c r="Z114" s="1"/>
      <c r="AA114" s="1"/>
    </row>
    <row r="115" spans="2:27" ht="14.25" customHeight="1" x14ac:dyDescent="0.3">
      <c r="B115" s="1"/>
      <c r="C115" s="298"/>
      <c r="D115" s="1"/>
      <c r="E115" s="1"/>
      <c r="F115" s="1"/>
      <c r="G115" s="1"/>
      <c r="H115" s="51"/>
      <c r="I115" s="51"/>
      <c r="J115" s="51"/>
      <c r="K115" s="51"/>
      <c r="L115" s="51"/>
      <c r="M115" s="51"/>
      <c r="N115" s="1"/>
      <c r="O115" s="50"/>
      <c r="P115" s="50"/>
      <c r="Q115" s="1"/>
      <c r="R115" s="1"/>
      <c r="S115" s="1"/>
      <c r="T115" s="1"/>
      <c r="U115" s="1"/>
      <c r="V115" s="1"/>
      <c r="W115" s="1"/>
      <c r="X115" s="1"/>
      <c r="Y115" s="1"/>
      <c r="Z115" s="1"/>
      <c r="AA115" s="1"/>
    </row>
    <row r="116" spans="2:27" ht="14.25" customHeight="1" x14ac:dyDescent="0.3">
      <c r="B116" s="1"/>
      <c r="C116" s="298"/>
      <c r="D116" s="1"/>
      <c r="E116" s="1"/>
      <c r="F116" s="1"/>
      <c r="G116" s="1"/>
      <c r="H116" s="51"/>
      <c r="I116" s="51"/>
      <c r="J116" s="51"/>
      <c r="K116" s="51"/>
      <c r="L116" s="51"/>
      <c r="M116" s="51"/>
      <c r="N116" s="1"/>
      <c r="O116" s="50"/>
      <c r="P116" s="50"/>
      <c r="Q116" s="1"/>
      <c r="R116" s="1"/>
      <c r="S116" s="1"/>
      <c r="T116" s="1"/>
      <c r="U116" s="1"/>
      <c r="V116" s="1"/>
      <c r="W116" s="1"/>
      <c r="X116" s="1"/>
      <c r="Y116" s="1"/>
      <c r="Z116" s="1"/>
      <c r="AA116" s="1"/>
    </row>
    <row r="117" spans="2:27" ht="14.25" customHeight="1" x14ac:dyDescent="0.3">
      <c r="B117" s="1"/>
      <c r="C117" s="298"/>
      <c r="D117" s="1"/>
      <c r="E117" s="1"/>
      <c r="F117" s="1"/>
      <c r="G117" s="1"/>
      <c r="H117" s="51"/>
      <c r="I117" s="51"/>
      <c r="J117" s="51"/>
      <c r="K117" s="51"/>
      <c r="L117" s="51"/>
      <c r="M117" s="51"/>
      <c r="N117" s="1"/>
      <c r="O117" s="50"/>
      <c r="P117" s="50"/>
      <c r="Q117" s="1"/>
      <c r="R117" s="1"/>
      <c r="S117" s="1"/>
      <c r="T117" s="1"/>
      <c r="U117" s="1"/>
      <c r="V117" s="1"/>
      <c r="W117" s="1"/>
      <c r="X117" s="1"/>
      <c r="Y117" s="1"/>
      <c r="Z117" s="1"/>
      <c r="AA117" s="1"/>
    </row>
    <row r="118" spans="2:27" ht="14.25" customHeight="1" x14ac:dyDescent="0.3">
      <c r="B118" s="1"/>
      <c r="C118" s="298"/>
      <c r="D118" s="1"/>
      <c r="E118" s="1"/>
      <c r="F118" s="1"/>
      <c r="G118" s="1"/>
      <c r="H118" s="1"/>
      <c r="I118" s="1"/>
      <c r="J118" s="1"/>
      <c r="K118" s="1"/>
      <c r="L118" s="1"/>
      <c r="M118" s="1"/>
      <c r="N118" s="1"/>
      <c r="O118" s="50"/>
      <c r="P118" s="50"/>
      <c r="Q118" s="1"/>
      <c r="R118" s="1"/>
      <c r="S118" s="1"/>
      <c r="T118" s="1"/>
      <c r="U118" s="1"/>
      <c r="V118" s="1"/>
      <c r="W118" s="1"/>
      <c r="X118" s="1"/>
      <c r="Y118" s="1"/>
      <c r="Z118" s="1"/>
      <c r="AA118" s="1"/>
    </row>
    <row r="119" spans="2:27" ht="14.25" customHeight="1" x14ac:dyDescent="0.3">
      <c r="B119" s="1"/>
      <c r="C119" s="298"/>
      <c r="D119" s="1"/>
      <c r="E119" s="1"/>
      <c r="F119" s="1"/>
      <c r="G119" s="1"/>
      <c r="H119" s="1"/>
      <c r="I119" s="1"/>
      <c r="J119" s="1"/>
      <c r="K119" s="1"/>
      <c r="L119" s="1"/>
      <c r="M119" s="1"/>
      <c r="N119" s="1"/>
      <c r="O119" s="50"/>
      <c r="P119" s="50"/>
      <c r="Q119" s="1"/>
      <c r="R119" s="1"/>
      <c r="S119" s="1"/>
      <c r="T119" s="1"/>
      <c r="U119" s="1"/>
      <c r="V119" s="1"/>
      <c r="W119" s="1"/>
      <c r="X119" s="1"/>
      <c r="Y119" s="1"/>
      <c r="Z119" s="1"/>
      <c r="AA119" s="1"/>
    </row>
    <row r="120" spans="2:27" ht="14.25" customHeight="1" x14ac:dyDescent="0.3">
      <c r="B120" s="1"/>
      <c r="C120" s="298"/>
      <c r="D120" s="1"/>
      <c r="E120" s="1"/>
      <c r="F120" s="1"/>
      <c r="G120" s="1"/>
      <c r="H120" s="1"/>
      <c r="I120" s="1"/>
      <c r="J120" s="1"/>
      <c r="K120" s="1"/>
      <c r="L120" s="1"/>
      <c r="M120" s="1"/>
      <c r="N120" s="1"/>
      <c r="O120" s="50"/>
      <c r="P120" s="50"/>
      <c r="Q120" s="1"/>
      <c r="R120" s="1"/>
      <c r="S120" s="1"/>
      <c r="T120" s="1"/>
      <c r="U120" s="1"/>
      <c r="V120" s="1"/>
      <c r="W120" s="1"/>
      <c r="X120" s="1"/>
      <c r="Y120" s="1"/>
      <c r="Z120" s="1"/>
      <c r="AA120" s="1"/>
    </row>
    <row r="121" spans="2:27" ht="14.25" customHeight="1" x14ac:dyDescent="0.3">
      <c r="B121" s="1"/>
      <c r="C121" s="298"/>
      <c r="D121" s="1"/>
      <c r="E121" s="1"/>
      <c r="F121" s="1"/>
      <c r="G121" s="1"/>
      <c r="H121" s="1"/>
      <c r="I121" s="1"/>
      <c r="J121" s="1"/>
      <c r="K121" s="1"/>
      <c r="L121" s="1"/>
      <c r="M121" s="1"/>
      <c r="N121" s="1"/>
      <c r="O121" s="50"/>
      <c r="P121" s="50"/>
      <c r="Q121" s="1"/>
      <c r="R121" s="1"/>
      <c r="S121" s="1"/>
      <c r="T121" s="1"/>
      <c r="U121" s="1"/>
      <c r="V121" s="1"/>
      <c r="W121" s="1"/>
      <c r="X121" s="1"/>
      <c r="Y121" s="1"/>
      <c r="Z121" s="1"/>
      <c r="AA121" s="1"/>
    </row>
    <row r="122" spans="2:27" ht="14.25" customHeight="1" x14ac:dyDescent="0.3">
      <c r="B122" s="1"/>
      <c r="C122" s="1"/>
      <c r="D122" s="1"/>
      <c r="E122" s="1"/>
      <c r="F122" s="1"/>
      <c r="G122" s="1"/>
      <c r="H122" s="1"/>
      <c r="I122" s="1"/>
      <c r="J122" s="1"/>
      <c r="K122" s="1"/>
      <c r="L122" s="1"/>
      <c r="M122" s="1"/>
      <c r="N122" s="1"/>
      <c r="O122" s="50"/>
      <c r="P122" s="50"/>
      <c r="Q122" s="1"/>
      <c r="R122" s="1"/>
      <c r="S122" s="1"/>
      <c r="T122" s="1"/>
      <c r="U122" s="1"/>
      <c r="V122" s="1"/>
      <c r="W122" s="1"/>
      <c r="X122" s="1"/>
      <c r="Y122" s="1"/>
      <c r="Z122" s="1"/>
      <c r="AA122" s="1"/>
    </row>
    <row r="123" spans="2:27" ht="14.25" customHeight="1" x14ac:dyDescent="0.3">
      <c r="B123" s="1"/>
      <c r="C123" s="1"/>
      <c r="D123" s="1"/>
      <c r="E123" s="1"/>
      <c r="F123" s="1"/>
      <c r="G123" s="1"/>
      <c r="H123" s="1"/>
      <c r="I123" s="1"/>
      <c r="J123" s="1"/>
      <c r="K123" s="1"/>
      <c r="L123" s="1"/>
      <c r="M123" s="1"/>
      <c r="N123" s="1"/>
      <c r="O123" s="50"/>
      <c r="P123" s="50"/>
      <c r="Q123" s="1"/>
      <c r="R123" s="1"/>
      <c r="S123" s="1"/>
      <c r="T123" s="1"/>
      <c r="U123" s="1"/>
      <c r="V123" s="1"/>
      <c r="W123" s="1"/>
      <c r="X123" s="1"/>
      <c r="Y123" s="1"/>
      <c r="Z123" s="1"/>
      <c r="AA123" s="1"/>
    </row>
    <row r="124" spans="2:27" ht="14.25" customHeight="1" x14ac:dyDescent="0.3">
      <c r="B124" s="1"/>
      <c r="C124" s="1"/>
      <c r="D124" s="1"/>
      <c r="E124" s="1"/>
      <c r="F124" s="1"/>
      <c r="G124" s="1"/>
      <c r="H124" s="1"/>
      <c r="I124" s="1"/>
      <c r="J124" s="1"/>
      <c r="K124" s="1"/>
      <c r="L124" s="1"/>
      <c r="M124" s="1"/>
      <c r="N124" s="1"/>
      <c r="O124" s="50"/>
      <c r="P124" s="50"/>
      <c r="Q124" s="1"/>
      <c r="R124" s="1"/>
      <c r="S124" s="1"/>
      <c r="T124" s="1"/>
      <c r="U124" s="1"/>
      <c r="V124" s="1"/>
      <c r="W124" s="1"/>
      <c r="X124" s="1"/>
      <c r="Y124" s="1"/>
      <c r="Z124" s="1"/>
      <c r="AA124" s="1"/>
    </row>
    <row r="125" spans="2:27" ht="14.25" customHeight="1" x14ac:dyDescent="0.3">
      <c r="B125" s="1"/>
      <c r="C125" s="1"/>
      <c r="D125" s="1"/>
      <c r="E125" s="1"/>
      <c r="F125" s="1"/>
      <c r="G125" s="1"/>
      <c r="H125" s="1"/>
      <c r="I125" s="1"/>
      <c r="J125" s="1"/>
      <c r="K125" s="1"/>
      <c r="L125" s="1"/>
      <c r="M125" s="1"/>
      <c r="N125" s="1"/>
      <c r="O125" s="50"/>
      <c r="P125" s="50"/>
      <c r="Q125" s="1"/>
      <c r="R125" s="1"/>
      <c r="S125" s="1"/>
      <c r="T125" s="1"/>
      <c r="U125" s="1"/>
      <c r="V125" s="1"/>
      <c r="W125" s="1"/>
      <c r="X125" s="1"/>
      <c r="Y125" s="1"/>
      <c r="Z125" s="1"/>
      <c r="AA125" s="1"/>
    </row>
    <row r="126" spans="2:27" ht="14.25" customHeight="1" x14ac:dyDescent="0.3">
      <c r="B126" s="1"/>
      <c r="C126" s="1"/>
      <c r="D126" s="1"/>
      <c r="E126" s="1"/>
      <c r="F126" s="1"/>
      <c r="G126" s="1"/>
      <c r="H126" s="1"/>
      <c r="I126" s="1"/>
      <c r="J126" s="1"/>
      <c r="K126" s="1"/>
      <c r="L126" s="1"/>
      <c r="M126" s="1"/>
      <c r="N126" s="1"/>
      <c r="O126" s="50"/>
      <c r="P126" s="50"/>
      <c r="Q126" s="1"/>
      <c r="R126" s="1"/>
      <c r="S126" s="1"/>
      <c r="T126" s="1"/>
      <c r="U126" s="1"/>
      <c r="V126" s="1"/>
      <c r="W126" s="1"/>
      <c r="X126" s="1"/>
      <c r="Y126" s="1"/>
      <c r="Z126" s="1"/>
      <c r="AA126" s="1"/>
    </row>
    <row r="127" spans="2:27" ht="14.25" customHeight="1" x14ac:dyDescent="0.3">
      <c r="B127" s="1"/>
      <c r="C127" s="1"/>
      <c r="D127" s="1"/>
      <c r="E127" s="1"/>
      <c r="F127" s="1"/>
      <c r="G127" s="1"/>
      <c r="H127" s="1"/>
      <c r="I127" s="1"/>
      <c r="J127" s="1"/>
      <c r="K127" s="1"/>
      <c r="L127" s="1"/>
      <c r="M127" s="1"/>
      <c r="N127" s="1"/>
      <c r="O127" s="50"/>
      <c r="P127" s="50"/>
      <c r="Q127" s="1"/>
      <c r="R127" s="1"/>
      <c r="S127" s="1"/>
      <c r="T127" s="1"/>
      <c r="U127" s="1"/>
      <c r="V127" s="1"/>
      <c r="W127" s="1"/>
      <c r="X127" s="1"/>
      <c r="Y127" s="1"/>
      <c r="Z127" s="1"/>
      <c r="AA127" s="1"/>
    </row>
    <row r="128" spans="2:27" ht="14.25" customHeight="1" x14ac:dyDescent="0.3">
      <c r="B128" s="1"/>
      <c r="C128" s="1"/>
      <c r="D128" s="1"/>
      <c r="E128" s="1"/>
      <c r="F128" s="1"/>
      <c r="G128" s="1"/>
      <c r="H128" s="1"/>
      <c r="I128" s="1"/>
      <c r="J128" s="1"/>
      <c r="K128" s="1"/>
      <c r="L128" s="1"/>
      <c r="M128" s="1"/>
      <c r="N128" s="1"/>
      <c r="O128" s="50"/>
      <c r="P128" s="50"/>
      <c r="Q128" s="1"/>
      <c r="R128" s="1"/>
      <c r="S128" s="1"/>
      <c r="T128" s="1"/>
      <c r="U128" s="1"/>
      <c r="V128" s="1"/>
      <c r="W128" s="1"/>
      <c r="X128" s="1"/>
      <c r="Y128" s="1"/>
      <c r="Z128" s="1"/>
      <c r="AA128" s="1"/>
    </row>
    <row r="129" spans="2:27" ht="14.25" customHeight="1" x14ac:dyDescent="0.3">
      <c r="B129" s="1"/>
      <c r="C129" s="1"/>
      <c r="D129" s="1"/>
      <c r="E129" s="1"/>
      <c r="F129" s="1"/>
      <c r="G129" s="1"/>
      <c r="H129" s="1"/>
      <c r="I129" s="1"/>
      <c r="J129" s="1"/>
      <c r="K129" s="1"/>
      <c r="L129" s="1"/>
      <c r="M129" s="1"/>
      <c r="N129" s="1"/>
      <c r="O129" s="50"/>
      <c r="P129" s="50"/>
      <c r="Q129" s="1"/>
      <c r="R129" s="1"/>
      <c r="S129" s="1"/>
      <c r="T129" s="1"/>
      <c r="U129" s="1"/>
      <c r="V129" s="1"/>
      <c r="W129" s="1"/>
      <c r="X129" s="1"/>
      <c r="Y129" s="1"/>
      <c r="Z129" s="1"/>
      <c r="AA129" s="1"/>
    </row>
    <row r="130" spans="2:27" ht="14.25" customHeight="1" x14ac:dyDescent="0.3">
      <c r="B130" s="1"/>
      <c r="C130" s="1"/>
      <c r="D130" s="1"/>
      <c r="E130" s="1"/>
      <c r="F130" s="1"/>
      <c r="G130" s="1"/>
      <c r="H130" s="1"/>
      <c r="I130" s="1"/>
      <c r="J130" s="1"/>
      <c r="K130" s="1"/>
      <c r="L130" s="1"/>
      <c r="M130" s="1"/>
      <c r="N130" s="1"/>
      <c r="O130" s="50"/>
      <c r="P130" s="50"/>
      <c r="Q130" s="1"/>
      <c r="R130" s="1"/>
      <c r="S130" s="1"/>
      <c r="T130" s="1"/>
      <c r="U130" s="1"/>
      <c r="V130" s="1"/>
      <c r="W130" s="1"/>
      <c r="X130" s="1"/>
      <c r="Y130" s="1"/>
      <c r="Z130" s="1"/>
      <c r="AA130" s="1"/>
    </row>
    <row r="131" spans="2:27" ht="14.25" customHeight="1" x14ac:dyDescent="0.3">
      <c r="B131" s="1"/>
      <c r="C131" s="1"/>
      <c r="D131" s="1"/>
      <c r="E131" s="1"/>
      <c r="F131" s="1"/>
      <c r="G131" s="1"/>
      <c r="H131" s="1"/>
      <c r="I131" s="1"/>
      <c r="J131" s="1"/>
      <c r="K131" s="1"/>
      <c r="L131" s="1"/>
      <c r="M131" s="1"/>
      <c r="N131" s="1"/>
      <c r="O131" s="50"/>
      <c r="P131" s="50"/>
      <c r="Q131" s="1"/>
      <c r="R131" s="1"/>
      <c r="S131" s="1"/>
      <c r="T131" s="1"/>
      <c r="U131" s="1"/>
      <c r="V131" s="1"/>
      <c r="W131" s="1"/>
      <c r="X131" s="1"/>
      <c r="Y131" s="1"/>
      <c r="Z131" s="1"/>
      <c r="AA131" s="1"/>
    </row>
    <row r="132" spans="2:27" ht="14.25" customHeight="1" x14ac:dyDescent="0.3">
      <c r="B132" s="1"/>
      <c r="C132" s="1"/>
      <c r="D132" s="1"/>
      <c r="E132" s="1"/>
      <c r="F132" s="1"/>
      <c r="G132" s="1"/>
      <c r="H132" s="1"/>
      <c r="I132" s="1"/>
      <c r="J132" s="1"/>
      <c r="K132" s="1"/>
      <c r="L132" s="1"/>
      <c r="M132" s="1"/>
      <c r="N132" s="1"/>
      <c r="O132" s="50"/>
      <c r="P132" s="50"/>
      <c r="Q132" s="1"/>
      <c r="R132" s="1"/>
      <c r="S132" s="1"/>
      <c r="T132" s="1"/>
      <c r="U132" s="1"/>
      <c r="V132" s="1"/>
      <c r="W132" s="1"/>
      <c r="X132" s="1"/>
      <c r="Y132" s="1"/>
      <c r="Z132" s="1"/>
      <c r="AA132" s="1"/>
    </row>
    <row r="133" spans="2:27" ht="14.25" customHeight="1" x14ac:dyDescent="0.3">
      <c r="B133" s="1"/>
      <c r="C133" s="1"/>
      <c r="D133" s="1"/>
      <c r="E133" s="1"/>
      <c r="F133" s="1"/>
      <c r="G133" s="1"/>
      <c r="H133" s="1"/>
      <c r="I133" s="1"/>
      <c r="J133" s="1"/>
      <c r="K133" s="1"/>
      <c r="L133" s="1"/>
      <c r="M133" s="1"/>
      <c r="N133" s="1"/>
      <c r="O133" s="50"/>
      <c r="P133" s="50"/>
      <c r="Q133" s="1"/>
      <c r="R133" s="1"/>
      <c r="S133" s="1"/>
      <c r="T133" s="1"/>
      <c r="U133" s="1"/>
      <c r="V133" s="1"/>
      <c r="W133" s="1"/>
      <c r="X133" s="1"/>
      <c r="Y133" s="1"/>
      <c r="Z133" s="1"/>
      <c r="AA133" s="1"/>
    </row>
    <row r="134" spans="2:27" ht="14.25" customHeight="1" x14ac:dyDescent="0.3">
      <c r="B134" s="1"/>
      <c r="C134" s="1"/>
      <c r="D134" s="1"/>
      <c r="E134" s="1"/>
      <c r="F134" s="1"/>
      <c r="G134" s="1"/>
      <c r="H134" s="1"/>
      <c r="I134" s="1"/>
      <c r="J134" s="1"/>
      <c r="K134" s="1"/>
      <c r="L134" s="1"/>
      <c r="M134" s="1"/>
      <c r="N134" s="1"/>
      <c r="O134" s="50"/>
      <c r="P134" s="50"/>
      <c r="Q134" s="1"/>
      <c r="R134" s="1"/>
      <c r="S134" s="1"/>
      <c r="T134" s="1"/>
      <c r="U134" s="1"/>
      <c r="V134" s="1"/>
      <c r="W134" s="1"/>
      <c r="X134" s="1"/>
      <c r="Y134" s="1"/>
      <c r="Z134" s="1"/>
      <c r="AA134" s="1"/>
    </row>
    <row r="135" spans="2:27" ht="14.25" customHeight="1" x14ac:dyDescent="0.3">
      <c r="B135" s="1"/>
      <c r="C135" s="1"/>
      <c r="D135" s="1"/>
      <c r="E135" s="1"/>
      <c r="F135" s="1"/>
      <c r="G135" s="1"/>
      <c r="H135" s="1"/>
      <c r="I135" s="1"/>
      <c r="J135" s="1"/>
      <c r="K135" s="1"/>
      <c r="L135" s="1"/>
      <c r="M135" s="1"/>
      <c r="N135" s="1"/>
      <c r="O135" s="50"/>
      <c r="P135" s="50"/>
      <c r="Q135" s="1"/>
      <c r="R135" s="1"/>
      <c r="S135" s="1"/>
      <c r="T135" s="1"/>
      <c r="U135" s="1"/>
      <c r="V135" s="1"/>
      <c r="W135" s="1"/>
      <c r="X135" s="1"/>
      <c r="Y135" s="1"/>
      <c r="Z135" s="1"/>
      <c r="AA135" s="1"/>
    </row>
    <row r="136" spans="2:27" ht="14.25" customHeight="1" x14ac:dyDescent="0.3">
      <c r="B136" s="1"/>
      <c r="C136" s="1"/>
      <c r="D136" s="1"/>
      <c r="E136" s="1"/>
      <c r="F136" s="1"/>
      <c r="G136" s="1"/>
      <c r="H136" s="1"/>
      <c r="I136" s="1"/>
      <c r="J136" s="1"/>
      <c r="K136" s="1"/>
      <c r="L136" s="1"/>
      <c r="M136" s="1"/>
      <c r="N136" s="1"/>
      <c r="O136" s="50"/>
      <c r="P136" s="50"/>
      <c r="Q136" s="1"/>
      <c r="R136" s="1"/>
      <c r="S136" s="1"/>
      <c r="T136" s="1"/>
      <c r="U136" s="1"/>
      <c r="V136" s="1"/>
      <c r="W136" s="1"/>
      <c r="X136" s="1"/>
      <c r="Y136" s="1"/>
      <c r="Z136" s="1"/>
      <c r="AA136" s="1"/>
    </row>
    <row r="137" spans="2:27" ht="14.25" customHeight="1" x14ac:dyDescent="0.3">
      <c r="B137" s="1"/>
      <c r="C137" s="1"/>
      <c r="D137" s="1"/>
      <c r="E137" s="1"/>
      <c r="F137" s="1"/>
      <c r="G137" s="1"/>
      <c r="H137" s="1"/>
      <c r="I137" s="1"/>
      <c r="J137" s="1"/>
      <c r="K137" s="1"/>
      <c r="L137" s="1"/>
      <c r="M137" s="1"/>
      <c r="N137" s="1"/>
      <c r="O137" s="50"/>
      <c r="P137" s="50"/>
      <c r="Q137" s="1"/>
      <c r="R137" s="1"/>
      <c r="S137" s="1"/>
      <c r="T137" s="1"/>
      <c r="U137" s="1"/>
      <c r="V137" s="1"/>
      <c r="W137" s="1"/>
      <c r="X137" s="1"/>
      <c r="Y137" s="1"/>
      <c r="Z137" s="1"/>
      <c r="AA137" s="1"/>
    </row>
    <row r="138" spans="2:27" ht="14.25" customHeight="1" x14ac:dyDescent="0.3">
      <c r="B138" s="1"/>
      <c r="C138" s="1"/>
      <c r="D138" s="1"/>
      <c r="E138" s="1"/>
      <c r="F138" s="1"/>
      <c r="G138" s="1"/>
      <c r="H138" s="1"/>
      <c r="I138" s="1"/>
      <c r="J138" s="1"/>
      <c r="K138" s="1"/>
      <c r="L138" s="1"/>
      <c r="M138" s="1"/>
      <c r="N138" s="1"/>
      <c r="O138" s="50"/>
      <c r="P138" s="1"/>
      <c r="Q138" s="1"/>
      <c r="R138" s="1"/>
      <c r="S138" s="1"/>
      <c r="T138" s="1"/>
      <c r="U138" s="1"/>
      <c r="V138" s="1"/>
      <c r="W138" s="1"/>
      <c r="X138" s="1"/>
      <c r="Y138" s="1"/>
      <c r="Z138" s="1"/>
      <c r="AA138" s="1"/>
    </row>
    <row r="139" spans="2:27" ht="14.25" customHeight="1" x14ac:dyDescent="0.3">
      <c r="B139" s="1"/>
      <c r="C139" s="1"/>
      <c r="D139" s="1"/>
      <c r="E139" s="1"/>
      <c r="F139" s="1"/>
      <c r="G139" s="1"/>
      <c r="H139" s="1"/>
      <c r="I139" s="1"/>
      <c r="J139" s="1"/>
      <c r="K139" s="1"/>
      <c r="L139" s="1"/>
      <c r="M139" s="1"/>
      <c r="N139" s="1"/>
      <c r="O139" s="50"/>
      <c r="P139" s="1"/>
      <c r="Q139" s="1"/>
      <c r="R139" s="1"/>
      <c r="S139" s="1"/>
      <c r="T139" s="1"/>
      <c r="U139" s="1"/>
      <c r="V139" s="1"/>
      <c r="W139" s="1"/>
      <c r="X139" s="1"/>
      <c r="Y139" s="1"/>
      <c r="Z139" s="1"/>
      <c r="AA139" s="1"/>
    </row>
    <row r="140" spans="2:27" ht="14.25" customHeight="1" x14ac:dyDescent="0.3">
      <c r="B140" s="1"/>
      <c r="C140" s="1"/>
      <c r="D140" s="1"/>
      <c r="E140" s="1"/>
      <c r="F140" s="1"/>
      <c r="G140" s="1"/>
      <c r="H140" s="1"/>
      <c r="I140" s="1"/>
      <c r="J140" s="1"/>
      <c r="K140" s="1"/>
      <c r="L140" s="1"/>
      <c r="M140" s="1"/>
      <c r="N140" s="1"/>
      <c r="O140" s="50"/>
      <c r="P140" s="1"/>
      <c r="Q140" s="1"/>
      <c r="R140" s="1"/>
      <c r="S140" s="1"/>
      <c r="T140" s="1"/>
      <c r="U140" s="1"/>
      <c r="V140" s="1"/>
      <c r="W140" s="1"/>
      <c r="X140" s="1"/>
      <c r="Y140" s="1"/>
      <c r="Z140" s="1"/>
      <c r="AA140" s="1"/>
    </row>
    <row r="141" spans="2:27" ht="14.25" customHeight="1" x14ac:dyDescent="0.3">
      <c r="B141" s="1"/>
      <c r="C141" s="1"/>
      <c r="D141" s="1"/>
      <c r="E141" s="1"/>
      <c r="F141" s="1"/>
      <c r="G141" s="1"/>
      <c r="H141" s="1"/>
      <c r="I141" s="1"/>
      <c r="J141" s="1"/>
      <c r="K141" s="1"/>
      <c r="L141" s="1"/>
      <c r="M141" s="1"/>
      <c r="N141" s="1"/>
      <c r="O141" s="50"/>
      <c r="P141" s="1"/>
      <c r="Q141" s="1"/>
      <c r="R141" s="1"/>
      <c r="S141" s="1"/>
      <c r="T141" s="1"/>
      <c r="U141" s="1"/>
      <c r="V141" s="1"/>
      <c r="W141" s="1"/>
      <c r="X141" s="1"/>
      <c r="Y141" s="1"/>
      <c r="Z141" s="1"/>
      <c r="AA141" s="1"/>
    </row>
    <row r="142" spans="2:27" ht="14.25" customHeight="1" x14ac:dyDescent="0.3">
      <c r="B142" s="1"/>
      <c r="C142" s="1"/>
      <c r="D142" s="1"/>
      <c r="E142" s="1"/>
      <c r="F142" s="1"/>
      <c r="G142" s="1"/>
      <c r="H142" s="1"/>
      <c r="I142" s="1"/>
      <c r="J142" s="1"/>
      <c r="K142" s="1"/>
      <c r="L142" s="1"/>
      <c r="M142" s="1"/>
      <c r="N142" s="1"/>
      <c r="O142" s="50"/>
      <c r="P142" s="1"/>
      <c r="Q142" s="1"/>
      <c r="R142" s="1"/>
      <c r="S142" s="1"/>
      <c r="T142" s="1"/>
      <c r="U142" s="1"/>
      <c r="V142" s="1"/>
      <c r="W142" s="1"/>
      <c r="X142" s="1"/>
      <c r="Y142" s="1"/>
      <c r="Z142" s="1"/>
      <c r="AA142" s="1"/>
    </row>
    <row r="143" spans="2:27" ht="14.25" customHeight="1" x14ac:dyDescent="0.3">
      <c r="B143" s="1"/>
      <c r="C143" s="1"/>
      <c r="D143" s="1"/>
      <c r="E143" s="1"/>
      <c r="F143" s="1"/>
      <c r="G143" s="1"/>
      <c r="H143" s="1"/>
      <c r="I143" s="1"/>
      <c r="J143" s="1"/>
      <c r="K143" s="1"/>
      <c r="L143" s="1"/>
      <c r="M143" s="1"/>
      <c r="N143" s="1"/>
      <c r="O143" s="50"/>
      <c r="P143" s="1"/>
      <c r="Q143" s="1"/>
      <c r="R143" s="1"/>
      <c r="S143" s="1"/>
      <c r="T143" s="1"/>
      <c r="U143" s="1"/>
      <c r="V143" s="1"/>
      <c r="W143" s="1"/>
      <c r="X143" s="1"/>
      <c r="Y143" s="1"/>
      <c r="Z143" s="1"/>
      <c r="AA143" s="1"/>
    </row>
    <row r="144" spans="2:27" ht="14.25" customHeight="1" x14ac:dyDescent="0.3">
      <c r="B144" s="1"/>
      <c r="C144" s="1"/>
      <c r="D144" s="1"/>
      <c r="E144" s="1"/>
      <c r="F144" s="1"/>
      <c r="G144" s="1"/>
      <c r="H144" s="1"/>
      <c r="I144" s="1"/>
      <c r="J144" s="1"/>
      <c r="K144" s="1"/>
      <c r="L144" s="1"/>
      <c r="M144" s="1"/>
      <c r="N144" s="1"/>
      <c r="O144" s="50"/>
      <c r="P144" s="1"/>
      <c r="Q144" s="1"/>
      <c r="R144" s="1"/>
      <c r="S144" s="1"/>
      <c r="T144" s="1"/>
      <c r="U144" s="1"/>
      <c r="V144" s="1"/>
      <c r="W144" s="1"/>
      <c r="X144" s="1"/>
      <c r="Y144" s="1"/>
      <c r="Z144" s="1"/>
      <c r="AA144" s="1"/>
    </row>
    <row r="145" spans="2:27" ht="14.25" customHeight="1" x14ac:dyDescent="0.3">
      <c r="B145" s="1"/>
      <c r="C145" s="1"/>
      <c r="D145" s="1"/>
      <c r="E145" s="1"/>
      <c r="F145" s="1"/>
      <c r="G145" s="1"/>
      <c r="H145" s="1"/>
      <c r="I145" s="1"/>
      <c r="J145" s="1"/>
      <c r="K145" s="1"/>
      <c r="L145" s="1"/>
      <c r="M145" s="1"/>
      <c r="N145" s="1"/>
      <c r="O145" s="50"/>
      <c r="P145" s="1"/>
      <c r="Q145" s="1"/>
      <c r="R145" s="1"/>
      <c r="S145" s="1"/>
      <c r="T145" s="1"/>
      <c r="U145" s="1"/>
      <c r="V145" s="1"/>
      <c r="W145" s="1"/>
      <c r="X145" s="1"/>
      <c r="Y145" s="1"/>
      <c r="Z145" s="1"/>
      <c r="AA145" s="1"/>
    </row>
    <row r="146" spans="2:27" ht="14.25" customHeight="1" x14ac:dyDescent="0.3">
      <c r="B146" s="1"/>
      <c r="C146" s="1"/>
      <c r="D146" s="1"/>
      <c r="E146" s="1"/>
      <c r="F146" s="1"/>
      <c r="G146" s="1"/>
      <c r="H146" s="1"/>
      <c r="I146" s="1"/>
      <c r="J146" s="1"/>
      <c r="K146" s="1"/>
      <c r="L146" s="1"/>
      <c r="M146" s="1"/>
      <c r="N146" s="1"/>
      <c r="O146" s="50"/>
      <c r="P146" s="1"/>
      <c r="Q146" s="1"/>
      <c r="R146" s="1"/>
      <c r="S146" s="1"/>
      <c r="T146" s="1"/>
      <c r="U146" s="1"/>
      <c r="V146" s="1"/>
      <c r="W146" s="1"/>
      <c r="X146" s="1"/>
      <c r="Y146" s="1"/>
      <c r="Z146" s="1"/>
      <c r="AA146" s="1"/>
    </row>
    <row r="147" spans="2:27" ht="14.25" customHeight="1" x14ac:dyDescent="0.3">
      <c r="B147" s="1"/>
      <c r="C147" s="1"/>
      <c r="D147" s="1"/>
      <c r="E147" s="1"/>
      <c r="F147" s="1"/>
      <c r="G147" s="1"/>
      <c r="H147" s="1"/>
      <c r="I147" s="1"/>
      <c r="J147" s="1"/>
      <c r="K147" s="1"/>
      <c r="L147" s="1"/>
      <c r="M147" s="1"/>
      <c r="N147" s="1"/>
      <c r="O147" s="50"/>
      <c r="P147" s="1"/>
      <c r="Q147" s="1"/>
      <c r="R147" s="1"/>
      <c r="S147" s="1"/>
      <c r="T147" s="1"/>
      <c r="U147" s="1"/>
      <c r="V147" s="1"/>
      <c r="W147" s="1"/>
      <c r="X147" s="1"/>
      <c r="Y147" s="1"/>
      <c r="Z147" s="1"/>
      <c r="AA147" s="1"/>
    </row>
    <row r="148" spans="2:27" ht="14.25" customHeight="1" x14ac:dyDescent="0.3">
      <c r="B148" s="1"/>
      <c r="C148" s="1"/>
      <c r="D148" s="1"/>
      <c r="E148" s="1"/>
      <c r="F148" s="1"/>
      <c r="G148" s="1"/>
      <c r="H148" s="1"/>
      <c r="I148" s="1"/>
      <c r="J148" s="1"/>
      <c r="K148" s="1"/>
      <c r="L148" s="1"/>
      <c r="M148" s="1"/>
      <c r="N148" s="1"/>
      <c r="O148" s="50"/>
      <c r="P148" s="1"/>
      <c r="Q148" s="1"/>
      <c r="R148" s="1"/>
      <c r="S148" s="1"/>
      <c r="T148" s="1"/>
      <c r="U148" s="1"/>
      <c r="V148" s="1"/>
      <c r="W148" s="1"/>
      <c r="X148" s="1"/>
      <c r="Y148" s="1"/>
      <c r="Z148" s="1"/>
      <c r="AA148" s="1"/>
    </row>
    <row r="149" spans="2:27" ht="14.25" customHeight="1" x14ac:dyDescent="0.3">
      <c r="B149" s="1"/>
      <c r="C149" s="1"/>
      <c r="D149" s="1"/>
      <c r="E149" s="1"/>
      <c r="F149" s="1"/>
      <c r="G149" s="1"/>
      <c r="H149" s="1"/>
      <c r="I149" s="1"/>
      <c r="J149" s="1"/>
      <c r="K149" s="1"/>
      <c r="L149" s="1"/>
      <c r="M149" s="1"/>
      <c r="N149" s="1"/>
      <c r="O149" s="50"/>
      <c r="P149" s="1"/>
      <c r="Q149" s="1"/>
      <c r="R149" s="1"/>
      <c r="S149" s="1"/>
      <c r="T149" s="1"/>
      <c r="U149" s="1"/>
      <c r="V149" s="1"/>
      <c r="W149" s="1"/>
      <c r="X149" s="1"/>
      <c r="Y149" s="1"/>
      <c r="Z149" s="1"/>
      <c r="AA149" s="1"/>
    </row>
    <row r="150" spans="2:27" ht="14.25" customHeight="1" x14ac:dyDescent="0.3">
      <c r="B150" s="1"/>
      <c r="C150" s="1"/>
      <c r="D150" s="1"/>
      <c r="E150" s="1"/>
      <c r="F150" s="1"/>
      <c r="G150" s="1"/>
      <c r="H150" s="1"/>
      <c r="I150" s="1"/>
      <c r="J150" s="1"/>
      <c r="K150" s="1"/>
      <c r="L150" s="1"/>
      <c r="M150" s="1"/>
      <c r="N150" s="1"/>
      <c r="O150" s="50"/>
      <c r="P150" s="1"/>
      <c r="Q150" s="1"/>
      <c r="R150" s="1"/>
      <c r="S150" s="1"/>
      <c r="T150" s="1"/>
      <c r="U150" s="1"/>
      <c r="V150" s="1"/>
      <c r="W150" s="1"/>
      <c r="X150" s="1"/>
      <c r="Y150" s="1"/>
      <c r="Z150" s="1"/>
      <c r="AA150" s="1"/>
    </row>
    <row r="151" spans="2:27" ht="14.25" customHeight="1" x14ac:dyDescent="0.3">
      <c r="B151" s="1"/>
      <c r="C151" s="1"/>
      <c r="D151" s="1"/>
      <c r="E151" s="1"/>
      <c r="F151" s="1"/>
      <c r="G151" s="1"/>
      <c r="H151" s="1"/>
      <c r="I151" s="1"/>
      <c r="J151" s="1"/>
      <c r="K151" s="1"/>
      <c r="L151" s="1"/>
      <c r="M151" s="1"/>
      <c r="N151" s="1"/>
      <c r="O151" s="50"/>
      <c r="P151" s="1"/>
      <c r="Q151" s="1"/>
      <c r="R151" s="1"/>
      <c r="S151" s="1"/>
      <c r="T151" s="1"/>
      <c r="U151" s="1"/>
      <c r="V151" s="1"/>
      <c r="W151" s="1"/>
      <c r="X151" s="1"/>
      <c r="Y151" s="1"/>
      <c r="Z151" s="1"/>
      <c r="AA151" s="1"/>
    </row>
    <row r="152" spans="2:27" ht="14.25" customHeight="1" x14ac:dyDescent="0.3">
      <c r="B152" s="1"/>
      <c r="C152" s="1"/>
      <c r="D152" s="1"/>
      <c r="E152" s="1"/>
      <c r="F152" s="1"/>
      <c r="G152" s="1"/>
      <c r="H152" s="1"/>
      <c r="I152" s="1"/>
      <c r="J152" s="1"/>
      <c r="K152" s="1"/>
      <c r="L152" s="1"/>
      <c r="M152" s="1"/>
      <c r="N152" s="1"/>
      <c r="O152" s="50"/>
      <c r="P152" s="1"/>
      <c r="Q152" s="1"/>
      <c r="R152" s="1"/>
      <c r="S152" s="1"/>
      <c r="T152" s="1"/>
      <c r="U152" s="1"/>
      <c r="V152" s="1"/>
      <c r="W152" s="1"/>
      <c r="X152" s="1"/>
      <c r="Y152" s="1"/>
      <c r="Z152" s="1"/>
      <c r="AA152" s="1"/>
    </row>
    <row r="153" spans="2:27" ht="14.25" customHeight="1" x14ac:dyDescent="0.3">
      <c r="B153" s="1"/>
      <c r="C153" s="1"/>
      <c r="D153" s="1"/>
      <c r="E153" s="1"/>
      <c r="F153" s="1"/>
      <c r="G153" s="1"/>
      <c r="H153" s="1"/>
      <c r="I153" s="1"/>
      <c r="J153" s="1"/>
      <c r="K153" s="1"/>
      <c r="L153" s="1"/>
      <c r="M153" s="1"/>
      <c r="N153" s="1"/>
      <c r="O153" s="50"/>
      <c r="P153" s="1"/>
      <c r="Q153" s="1"/>
      <c r="R153" s="1"/>
      <c r="S153" s="1"/>
      <c r="T153" s="1"/>
      <c r="U153" s="1"/>
      <c r="V153" s="1"/>
      <c r="W153" s="1"/>
      <c r="X153" s="1"/>
      <c r="Y153" s="1"/>
      <c r="Z153" s="1"/>
      <c r="AA153" s="1"/>
    </row>
    <row r="154" spans="2:27" ht="14.25" customHeight="1" x14ac:dyDescent="0.3">
      <c r="B154" s="1"/>
      <c r="C154" s="1"/>
      <c r="D154" s="1"/>
      <c r="E154" s="1"/>
      <c r="F154" s="1"/>
      <c r="G154" s="1"/>
      <c r="H154" s="1"/>
      <c r="I154" s="1"/>
      <c r="J154" s="1"/>
      <c r="K154" s="1"/>
      <c r="L154" s="1"/>
      <c r="M154" s="1"/>
      <c r="N154" s="1"/>
      <c r="O154" s="50"/>
      <c r="P154" s="1"/>
      <c r="Q154" s="1"/>
      <c r="R154" s="1"/>
      <c r="S154" s="1"/>
      <c r="T154" s="1"/>
      <c r="U154" s="1"/>
      <c r="V154" s="1"/>
      <c r="W154" s="1"/>
      <c r="X154" s="1"/>
      <c r="Y154" s="1"/>
      <c r="Z154" s="1"/>
      <c r="AA154" s="1"/>
    </row>
    <row r="155" spans="2:27" ht="14.25" customHeight="1" x14ac:dyDescent="0.3">
      <c r="B155" s="1"/>
      <c r="C155" s="1"/>
      <c r="D155" s="1"/>
      <c r="E155" s="1"/>
      <c r="F155" s="1"/>
      <c r="G155" s="1"/>
      <c r="H155" s="1"/>
      <c r="I155" s="1"/>
      <c r="J155" s="1"/>
      <c r="K155" s="1"/>
      <c r="L155" s="1"/>
      <c r="M155" s="1"/>
      <c r="N155" s="1"/>
      <c r="O155" s="50"/>
      <c r="P155" s="1"/>
      <c r="Q155" s="1"/>
      <c r="R155" s="1"/>
      <c r="S155" s="1"/>
      <c r="T155" s="1"/>
      <c r="U155" s="1"/>
      <c r="V155" s="1"/>
      <c r="W155" s="1"/>
      <c r="X155" s="1"/>
      <c r="Y155" s="1"/>
      <c r="Z155" s="1"/>
      <c r="AA155" s="1"/>
    </row>
    <row r="156" spans="2:27" ht="14.25" customHeight="1" x14ac:dyDescent="0.3">
      <c r="B156" s="1"/>
      <c r="C156" s="1"/>
      <c r="D156" s="1"/>
      <c r="E156" s="1"/>
      <c r="F156" s="1"/>
      <c r="G156" s="1"/>
      <c r="H156" s="1"/>
      <c r="I156" s="1"/>
      <c r="J156" s="1"/>
      <c r="K156" s="1"/>
      <c r="L156" s="1"/>
      <c r="M156" s="1"/>
      <c r="N156" s="1"/>
      <c r="O156" s="50"/>
      <c r="P156" s="1"/>
      <c r="Q156" s="1"/>
      <c r="R156" s="1"/>
      <c r="S156" s="1"/>
      <c r="T156" s="1"/>
      <c r="U156" s="1"/>
      <c r="V156" s="1"/>
      <c r="W156" s="1"/>
      <c r="X156" s="1"/>
      <c r="Y156" s="1"/>
      <c r="Z156" s="1"/>
      <c r="AA156" s="1"/>
    </row>
    <row r="157" spans="2:27" ht="14.25" customHeight="1" x14ac:dyDescent="0.3">
      <c r="B157" s="1"/>
      <c r="C157" s="1"/>
      <c r="D157" s="1"/>
      <c r="E157" s="1"/>
      <c r="F157" s="1"/>
      <c r="G157" s="1"/>
      <c r="H157" s="1"/>
      <c r="I157" s="1"/>
      <c r="J157" s="1"/>
      <c r="K157" s="1"/>
      <c r="L157" s="1"/>
      <c r="M157" s="1"/>
      <c r="N157" s="1"/>
      <c r="O157" s="50"/>
      <c r="P157" s="1"/>
      <c r="Q157" s="1"/>
      <c r="R157" s="1"/>
      <c r="S157" s="1"/>
      <c r="T157" s="1"/>
      <c r="U157" s="1"/>
      <c r="V157" s="1"/>
      <c r="W157" s="1"/>
      <c r="X157" s="1"/>
      <c r="Y157" s="1"/>
      <c r="Z157" s="1"/>
      <c r="AA157" s="1"/>
    </row>
    <row r="158" spans="2:27" ht="14.25" customHeight="1" x14ac:dyDescent="0.3">
      <c r="B158" s="1"/>
      <c r="C158" s="1"/>
      <c r="D158" s="1"/>
      <c r="E158" s="1"/>
      <c r="F158" s="1"/>
      <c r="G158" s="1"/>
      <c r="H158" s="1"/>
      <c r="I158" s="1"/>
      <c r="J158" s="1"/>
      <c r="K158" s="1"/>
      <c r="L158" s="1"/>
      <c r="M158" s="1"/>
      <c r="N158" s="1"/>
      <c r="O158" s="50"/>
      <c r="P158" s="1"/>
      <c r="Q158" s="1"/>
      <c r="R158" s="1"/>
      <c r="S158" s="1"/>
      <c r="T158" s="1"/>
      <c r="U158" s="1"/>
      <c r="V158" s="1"/>
      <c r="W158" s="1"/>
      <c r="X158" s="1"/>
      <c r="Y158" s="1"/>
      <c r="Z158" s="1"/>
      <c r="AA158" s="1"/>
    </row>
    <row r="159" spans="2:27" ht="14.25" customHeight="1" x14ac:dyDescent="0.3">
      <c r="B159" s="1"/>
      <c r="C159" s="1"/>
      <c r="D159" s="1"/>
      <c r="E159" s="1"/>
      <c r="F159" s="1"/>
      <c r="G159" s="1"/>
      <c r="H159" s="1"/>
      <c r="I159" s="1"/>
      <c r="J159" s="1"/>
      <c r="K159" s="1"/>
      <c r="L159" s="1"/>
      <c r="M159" s="1"/>
      <c r="N159" s="1"/>
      <c r="O159" s="50"/>
      <c r="P159" s="1"/>
      <c r="Q159" s="1"/>
      <c r="R159" s="1"/>
      <c r="S159" s="1"/>
      <c r="T159" s="1"/>
      <c r="U159" s="1"/>
      <c r="V159" s="1"/>
      <c r="W159" s="1"/>
      <c r="X159" s="1"/>
      <c r="Y159" s="1"/>
      <c r="Z159" s="1"/>
      <c r="AA159" s="1"/>
    </row>
    <row r="160" spans="2:27" ht="14.25" customHeight="1" x14ac:dyDescent="0.3">
      <c r="B160" s="1"/>
      <c r="C160" s="1"/>
      <c r="D160" s="1"/>
      <c r="E160" s="1"/>
      <c r="F160" s="1"/>
      <c r="G160" s="1"/>
      <c r="H160" s="1"/>
      <c r="I160" s="1"/>
      <c r="J160" s="1"/>
      <c r="K160" s="1"/>
      <c r="L160" s="1"/>
      <c r="M160" s="1"/>
      <c r="N160" s="1"/>
      <c r="O160" s="50"/>
      <c r="P160" s="1"/>
      <c r="Q160" s="1"/>
      <c r="R160" s="1"/>
      <c r="S160" s="1"/>
      <c r="T160" s="1"/>
      <c r="U160" s="1"/>
      <c r="V160" s="1"/>
      <c r="W160" s="1"/>
      <c r="X160" s="1"/>
      <c r="Y160" s="1"/>
      <c r="Z160" s="1"/>
      <c r="AA160" s="1"/>
    </row>
    <row r="161" spans="2:27" ht="14.25" customHeight="1" x14ac:dyDescent="0.3">
      <c r="B161" s="1"/>
      <c r="C161" s="1"/>
      <c r="D161" s="1"/>
      <c r="E161" s="1"/>
      <c r="F161" s="1"/>
      <c r="G161" s="1"/>
      <c r="H161" s="1"/>
      <c r="I161" s="1"/>
      <c r="J161" s="1"/>
      <c r="K161" s="1"/>
      <c r="L161" s="1"/>
      <c r="M161" s="1"/>
      <c r="N161" s="1"/>
      <c r="O161" s="50"/>
      <c r="P161" s="1"/>
      <c r="Q161" s="1"/>
      <c r="R161" s="1"/>
      <c r="S161" s="1"/>
      <c r="T161" s="1"/>
      <c r="U161" s="1"/>
      <c r="V161" s="1"/>
      <c r="W161" s="1"/>
      <c r="X161" s="1"/>
      <c r="Y161" s="1"/>
      <c r="Z161" s="1"/>
      <c r="AA161" s="1"/>
    </row>
    <row r="162" spans="2:27" ht="14.25" customHeight="1" x14ac:dyDescent="0.3">
      <c r="B162" s="1"/>
      <c r="C162" s="1"/>
      <c r="D162" s="1"/>
      <c r="E162" s="1"/>
      <c r="F162" s="1"/>
      <c r="G162" s="1"/>
      <c r="H162" s="1"/>
      <c r="I162" s="1"/>
      <c r="J162" s="1"/>
      <c r="K162" s="1"/>
      <c r="L162" s="1"/>
      <c r="M162" s="1"/>
      <c r="N162" s="1"/>
      <c r="O162" s="50"/>
      <c r="P162" s="1"/>
      <c r="Q162" s="1"/>
      <c r="R162" s="1"/>
      <c r="S162" s="1"/>
      <c r="T162" s="1"/>
      <c r="U162" s="1"/>
      <c r="V162" s="1"/>
      <c r="W162" s="1"/>
      <c r="X162" s="1"/>
      <c r="Y162" s="1"/>
      <c r="Z162" s="1"/>
      <c r="AA162" s="1"/>
    </row>
    <row r="163" spans="2:27" ht="14.25" customHeight="1" x14ac:dyDescent="0.3">
      <c r="B163" s="1"/>
      <c r="C163" s="1"/>
      <c r="D163" s="1"/>
      <c r="E163" s="1"/>
      <c r="F163" s="1"/>
      <c r="G163" s="1"/>
      <c r="H163" s="1"/>
      <c r="I163" s="1"/>
      <c r="J163" s="1"/>
      <c r="K163" s="1"/>
      <c r="L163" s="1"/>
      <c r="M163" s="1"/>
      <c r="N163" s="1"/>
      <c r="O163" s="50"/>
      <c r="P163" s="1"/>
      <c r="Q163" s="1"/>
      <c r="R163" s="1"/>
      <c r="S163" s="1"/>
      <c r="T163" s="1"/>
      <c r="U163" s="1"/>
      <c r="V163" s="1"/>
      <c r="W163" s="1"/>
      <c r="X163" s="1"/>
      <c r="Y163" s="1"/>
      <c r="Z163" s="1"/>
      <c r="AA163" s="1"/>
    </row>
    <row r="164" spans="2:27" ht="14.25" customHeight="1" x14ac:dyDescent="0.3">
      <c r="B164" s="1"/>
      <c r="C164" s="1"/>
      <c r="D164" s="1"/>
      <c r="E164" s="1"/>
      <c r="F164" s="1"/>
      <c r="G164" s="1"/>
      <c r="H164" s="1"/>
      <c r="I164" s="1"/>
      <c r="J164" s="1"/>
      <c r="K164" s="1"/>
      <c r="L164" s="1"/>
      <c r="M164" s="1"/>
      <c r="N164" s="1"/>
      <c r="O164" s="50"/>
      <c r="P164" s="1"/>
      <c r="Q164" s="1"/>
      <c r="R164" s="1"/>
      <c r="S164" s="1"/>
      <c r="T164" s="1"/>
      <c r="U164" s="1"/>
      <c r="V164" s="1"/>
      <c r="W164" s="1"/>
      <c r="X164" s="1"/>
      <c r="Y164" s="1"/>
      <c r="Z164" s="1"/>
      <c r="AA164" s="1"/>
    </row>
    <row r="165" spans="2:27" ht="14.25" customHeight="1" x14ac:dyDescent="0.3">
      <c r="B165" s="1"/>
      <c r="C165" s="1"/>
      <c r="D165" s="1"/>
      <c r="E165" s="1"/>
      <c r="F165" s="1"/>
      <c r="G165" s="1"/>
      <c r="H165" s="1"/>
      <c r="I165" s="1"/>
      <c r="J165" s="1"/>
      <c r="K165" s="1"/>
      <c r="L165" s="1"/>
      <c r="M165" s="1"/>
      <c r="N165" s="1"/>
      <c r="O165" s="50"/>
      <c r="P165" s="1"/>
      <c r="Q165" s="1"/>
      <c r="R165" s="1"/>
      <c r="S165" s="1"/>
      <c r="T165" s="1"/>
      <c r="U165" s="1"/>
      <c r="V165" s="1"/>
      <c r="W165" s="1"/>
      <c r="X165" s="1"/>
      <c r="Y165" s="1"/>
      <c r="Z165" s="1"/>
      <c r="AA165" s="1"/>
    </row>
    <row r="166" spans="2:27" ht="14.25" customHeight="1" x14ac:dyDescent="0.3">
      <c r="B166" s="1"/>
      <c r="C166" s="1"/>
      <c r="D166" s="1"/>
      <c r="E166" s="1"/>
      <c r="F166" s="1"/>
      <c r="G166" s="1"/>
      <c r="H166" s="1"/>
      <c r="I166" s="1"/>
      <c r="J166" s="1"/>
      <c r="K166" s="1"/>
      <c r="L166" s="1"/>
      <c r="M166" s="1"/>
      <c r="N166" s="1"/>
      <c r="O166" s="50"/>
      <c r="P166" s="1"/>
      <c r="Q166" s="1"/>
      <c r="R166" s="1"/>
      <c r="S166" s="1"/>
      <c r="T166" s="1"/>
      <c r="U166" s="1"/>
      <c r="V166" s="1"/>
      <c r="W166" s="1"/>
      <c r="X166" s="1"/>
      <c r="Y166" s="1"/>
      <c r="Z166" s="1"/>
      <c r="AA166" s="1"/>
    </row>
    <row r="167" spans="2:27" ht="14.25" customHeight="1" x14ac:dyDescent="0.3">
      <c r="B167" s="1"/>
      <c r="C167" s="1"/>
      <c r="D167" s="1"/>
      <c r="E167" s="1"/>
      <c r="F167" s="1"/>
      <c r="G167" s="1"/>
      <c r="H167" s="1"/>
      <c r="I167" s="1"/>
      <c r="J167" s="1"/>
      <c r="K167" s="1"/>
      <c r="L167" s="1"/>
      <c r="M167" s="1"/>
      <c r="N167" s="1"/>
      <c r="O167" s="50"/>
      <c r="P167" s="1"/>
      <c r="Q167" s="1"/>
      <c r="R167" s="1"/>
      <c r="S167" s="1"/>
      <c r="T167" s="1"/>
      <c r="U167" s="1"/>
      <c r="V167" s="1"/>
      <c r="W167" s="1"/>
      <c r="X167" s="1"/>
      <c r="Y167" s="1"/>
      <c r="Z167" s="1"/>
      <c r="AA167" s="1"/>
    </row>
    <row r="168" spans="2:27" ht="14.25" customHeight="1" x14ac:dyDescent="0.3">
      <c r="B168" s="1"/>
      <c r="C168" s="1"/>
      <c r="D168" s="1"/>
      <c r="E168" s="1"/>
      <c r="F168" s="1"/>
      <c r="G168" s="1"/>
      <c r="H168" s="1"/>
      <c r="I168" s="1"/>
      <c r="J168" s="1"/>
      <c r="K168" s="1"/>
      <c r="L168" s="1"/>
      <c r="M168" s="1"/>
      <c r="N168" s="1"/>
      <c r="O168" s="50"/>
      <c r="P168" s="1"/>
      <c r="Q168" s="1"/>
      <c r="R168" s="1"/>
      <c r="S168" s="1"/>
      <c r="T168" s="1"/>
      <c r="U168" s="1"/>
      <c r="V168" s="1"/>
      <c r="W168" s="1"/>
      <c r="X168" s="1"/>
      <c r="Y168" s="1"/>
      <c r="Z168" s="1"/>
      <c r="AA168" s="1"/>
    </row>
    <row r="169" spans="2:27" ht="14.25" customHeight="1" x14ac:dyDescent="0.3">
      <c r="B169" s="1"/>
      <c r="C169" s="1"/>
      <c r="D169" s="1"/>
      <c r="E169" s="1"/>
      <c r="F169" s="1"/>
      <c r="G169" s="1"/>
      <c r="H169" s="1"/>
      <c r="I169" s="1"/>
      <c r="J169" s="1"/>
      <c r="K169" s="1"/>
      <c r="L169" s="1"/>
      <c r="M169" s="1"/>
      <c r="N169" s="1"/>
      <c r="O169" s="50"/>
      <c r="P169" s="1"/>
      <c r="Q169" s="1"/>
      <c r="R169" s="1"/>
      <c r="S169" s="1"/>
      <c r="T169" s="1"/>
      <c r="U169" s="1"/>
      <c r="V169" s="1"/>
      <c r="W169" s="1"/>
      <c r="X169" s="1"/>
      <c r="Y169" s="1"/>
      <c r="Z169" s="1"/>
      <c r="AA169" s="1"/>
    </row>
    <row r="170" spans="2:27" ht="14.25" customHeight="1" x14ac:dyDescent="0.3">
      <c r="B170" s="1"/>
      <c r="C170" s="1"/>
      <c r="D170" s="1"/>
      <c r="E170" s="1"/>
      <c r="F170" s="1"/>
      <c r="G170" s="1"/>
      <c r="H170" s="1"/>
      <c r="I170" s="1"/>
      <c r="J170" s="1"/>
      <c r="K170" s="1"/>
      <c r="L170" s="1"/>
      <c r="M170" s="1"/>
      <c r="N170" s="1"/>
      <c r="O170" s="50"/>
      <c r="P170" s="1"/>
      <c r="Q170" s="1"/>
      <c r="R170" s="1"/>
      <c r="S170" s="1"/>
      <c r="T170" s="1"/>
      <c r="U170" s="1"/>
      <c r="V170" s="1"/>
      <c r="W170" s="1"/>
      <c r="X170" s="1"/>
      <c r="Y170" s="1"/>
      <c r="Z170" s="1"/>
      <c r="AA170" s="1"/>
    </row>
    <row r="171" spans="2:27" ht="14.25" customHeight="1" x14ac:dyDescent="0.3">
      <c r="B171" s="1"/>
      <c r="C171" s="1"/>
      <c r="D171" s="1"/>
      <c r="E171" s="1"/>
      <c r="F171" s="1"/>
      <c r="G171" s="1"/>
      <c r="H171" s="1"/>
      <c r="I171" s="1"/>
      <c r="J171" s="1"/>
      <c r="K171" s="1"/>
      <c r="L171" s="1"/>
      <c r="M171" s="1"/>
      <c r="N171" s="1"/>
      <c r="O171" s="50"/>
      <c r="P171" s="1"/>
      <c r="Q171" s="1"/>
      <c r="R171" s="1"/>
      <c r="S171" s="1"/>
      <c r="T171" s="1"/>
      <c r="U171" s="1"/>
      <c r="V171" s="1"/>
      <c r="W171" s="1"/>
      <c r="X171" s="1"/>
      <c r="Y171" s="1"/>
      <c r="Z171" s="1"/>
      <c r="AA171" s="1"/>
    </row>
    <row r="172" spans="2:27" ht="14.25" customHeight="1" x14ac:dyDescent="0.3">
      <c r="B172" s="1"/>
      <c r="C172" s="1"/>
      <c r="D172" s="1"/>
      <c r="E172" s="1"/>
      <c r="F172" s="1"/>
      <c r="G172" s="1"/>
      <c r="H172" s="1"/>
      <c r="I172" s="1"/>
      <c r="J172" s="1"/>
      <c r="K172" s="1"/>
      <c r="L172" s="1"/>
      <c r="M172" s="1"/>
      <c r="N172" s="1"/>
      <c r="O172" s="50"/>
      <c r="P172" s="1"/>
      <c r="Q172" s="1"/>
      <c r="R172" s="1"/>
      <c r="S172" s="1"/>
      <c r="T172" s="1"/>
      <c r="U172" s="1"/>
      <c r="V172" s="1"/>
      <c r="W172" s="1"/>
      <c r="X172" s="1"/>
      <c r="Y172" s="1"/>
      <c r="Z172" s="1"/>
      <c r="AA172" s="1"/>
    </row>
    <row r="173" spans="2:27" ht="14.25" customHeight="1" x14ac:dyDescent="0.3">
      <c r="B173" s="1"/>
      <c r="C173" s="1"/>
      <c r="D173" s="1"/>
      <c r="E173" s="1"/>
      <c r="F173" s="1"/>
      <c r="G173" s="1"/>
      <c r="H173" s="1"/>
      <c r="I173" s="1"/>
      <c r="J173" s="1"/>
      <c r="K173" s="1"/>
      <c r="L173" s="1"/>
      <c r="M173" s="1"/>
      <c r="N173" s="1"/>
      <c r="O173" s="50"/>
      <c r="P173" s="1"/>
      <c r="Q173" s="1"/>
      <c r="R173" s="1"/>
      <c r="S173" s="1"/>
      <c r="T173" s="1"/>
      <c r="U173" s="1"/>
      <c r="V173" s="1"/>
      <c r="W173" s="1"/>
      <c r="X173" s="1"/>
      <c r="Y173" s="1"/>
      <c r="Z173" s="1"/>
      <c r="AA173" s="1"/>
    </row>
    <row r="174" spans="2:27" ht="14.25" customHeight="1" x14ac:dyDescent="0.3">
      <c r="B174" s="1"/>
      <c r="C174" s="1"/>
      <c r="D174" s="1"/>
      <c r="E174" s="1"/>
      <c r="F174" s="1"/>
      <c r="G174" s="1"/>
      <c r="H174" s="1"/>
      <c r="I174" s="1"/>
      <c r="J174" s="1"/>
      <c r="K174" s="1"/>
      <c r="L174" s="1"/>
      <c r="M174" s="1"/>
      <c r="N174" s="1"/>
      <c r="O174" s="50"/>
      <c r="P174" s="1"/>
      <c r="Q174" s="1"/>
      <c r="R174" s="1"/>
      <c r="S174" s="1"/>
      <c r="T174" s="1"/>
      <c r="U174" s="1"/>
      <c r="V174" s="1"/>
      <c r="W174" s="1"/>
      <c r="X174" s="1"/>
      <c r="Y174" s="1"/>
      <c r="Z174" s="1"/>
      <c r="AA174" s="1"/>
    </row>
    <row r="175" spans="2:27" ht="14.25" customHeight="1" x14ac:dyDescent="0.3">
      <c r="B175" s="1"/>
      <c r="C175" s="1"/>
      <c r="D175" s="1"/>
      <c r="E175" s="1"/>
      <c r="F175" s="1"/>
      <c r="G175" s="1"/>
      <c r="H175" s="1"/>
      <c r="I175" s="1"/>
      <c r="J175" s="1"/>
      <c r="K175" s="1"/>
      <c r="L175" s="1"/>
      <c r="M175" s="1"/>
      <c r="N175" s="1"/>
      <c r="O175" s="50"/>
      <c r="P175" s="1"/>
      <c r="Q175" s="1"/>
      <c r="R175" s="1"/>
      <c r="S175" s="1"/>
      <c r="T175" s="1"/>
      <c r="U175" s="1"/>
      <c r="V175" s="1"/>
      <c r="W175" s="1"/>
      <c r="X175" s="1"/>
      <c r="Y175" s="1"/>
      <c r="Z175" s="1"/>
      <c r="AA175" s="1"/>
    </row>
    <row r="176" spans="2:27" ht="14.25" customHeight="1" x14ac:dyDescent="0.3">
      <c r="B176" s="1"/>
      <c r="C176" s="1"/>
      <c r="D176" s="1"/>
      <c r="E176" s="1"/>
      <c r="F176" s="1"/>
      <c r="G176" s="1"/>
      <c r="H176" s="1"/>
      <c r="I176" s="1"/>
      <c r="J176" s="1"/>
      <c r="K176" s="1"/>
      <c r="L176" s="1"/>
      <c r="M176" s="1"/>
      <c r="N176" s="1"/>
      <c r="O176" s="50"/>
      <c r="P176" s="1"/>
      <c r="Q176" s="1"/>
      <c r="R176" s="1"/>
      <c r="S176" s="1"/>
      <c r="T176" s="1"/>
      <c r="U176" s="1"/>
      <c r="V176" s="1"/>
      <c r="W176" s="1"/>
      <c r="X176" s="1"/>
      <c r="Y176" s="1"/>
      <c r="Z176" s="1"/>
      <c r="AA176" s="1"/>
    </row>
    <row r="177" spans="2:27" ht="14.25" customHeight="1" x14ac:dyDescent="0.3">
      <c r="B177" s="1"/>
      <c r="C177" s="1"/>
      <c r="D177" s="1"/>
      <c r="E177" s="1"/>
      <c r="F177" s="1"/>
      <c r="G177" s="1"/>
      <c r="H177" s="1"/>
      <c r="I177" s="1"/>
      <c r="J177" s="1"/>
      <c r="K177" s="1"/>
      <c r="L177" s="1"/>
      <c r="M177" s="1"/>
      <c r="N177" s="1"/>
      <c r="O177" s="50"/>
      <c r="P177" s="1"/>
      <c r="Q177" s="1"/>
      <c r="R177" s="1"/>
      <c r="S177" s="1"/>
      <c r="T177" s="1"/>
      <c r="U177" s="1"/>
      <c r="V177" s="1"/>
      <c r="W177" s="1"/>
      <c r="X177" s="1"/>
      <c r="Y177" s="1"/>
      <c r="Z177" s="1"/>
      <c r="AA177" s="1"/>
    </row>
    <row r="178" spans="2:27" ht="14.25" customHeight="1" x14ac:dyDescent="0.3">
      <c r="B178" s="1"/>
      <c r="C178" s="1"/>
      <c r="D178" s="1"/>
      <c r="E178" s="1"/>
      <c r="F178" s="1"/>
      <c r="G178" s="1"/>
      <c r="H178" s="1"/>
      <c r="I178" s="1"/>
      <c r="J178" s="1"/>
      <c r="K178" s="1"/>
      <c r="L178" s="1"/>
      <c r="M178" s="1"/>
      <c r="N178" s="1"/>
      <c r="O178" s="50"/>
      <c r="P178" s="1"/>
      <c r="Q178" s="1"/>
      <c r="R178" s="1"/>
      <c r="S178" s="1"/>
      <c r="T178" s="1"/>
      <c r="U178" s="1"/>
      <c r="V178" s="1"/>
      <c r="W178" s="1"/>
      <c r="X178" s="1"/>
      <c r="Y178" s="1"/>
      <c r="Z178" s="1"/>
      <c r="AA178" s="1"/>
    </row>
    <row r="179" spans="2:27" ht="14.25" customHeight="1" x14ac:dyDescent="0.3">
      <c r="B179" s="1"/>
      <c r="C179" s="1"/>
      <c r="D179" s="1"/>
      <c r="E179" s="1"/>
      <c r="F179" s="1"/>
      <c r="G179" s="1"/>
      <c r="H179" s="1"/>
      <c r="I179" s="1"/>
      <c r="J179" s="1"/>
      <c r="K179" s="1"/>
      <c r="L179" s="1"/>
      <c r="M179" s="1"/>
      <c r="N179" s="1"/>
      <c r="O179" s="50"/>
      <c r="P179" s="1"/>
      <c r="Q179" s="1"/>
      <c r="R179" s="1"/>
      <c r="S179" s="1"/>
      <c r="T179" s="1"/>
      <c r="U179" s="1"/>
      <c r="V179" s="1"/>
      <c r="W179" s="1"/>
      <c r="X179" s="1"/>
      <c r="Y179" s="1"/>
      <c r="Z179" s="1"/>
      <c r="AA179" s="1"/>
    </row>
    <row r="180" spans="2:27" ht="14.25" customHeight="1" x14ac:dyDescent="0.3">
      <c r="B180" s="1"/>
      <c r="C180" s="1"/>
      <c r="D180" s="1"/>
      <c r="E180" s="1"/>
      <c r="F180" s="1"/>
      <c r="G180" s="1"/>
      <c r="H180" s="1"/>
      <c r="I180" s="1"/>
      <c r="J180" s="1"/>
      <c r="K180" s="1"/>
      <c r="L180" s="1"/>
      <c r="M180" s="1"/>
      <c r="N180" s="1"/>
      <c r="O180" s="50"/>
      <c r="P180" s="1"/>
      <c r="Q180" s="1"/>
      <c r="R180" s="1"/>
      <c r="S180" s="1"/>
      <c r="T180" s="1"/>
      <c r="U180" s="1"/>
      <c r="V180" s="1"/>
      <c r="W180" s="1"/>
      <c r="X180" s="1"/>
      <c r="Y180" s="1"/>
      <c r="Z180" s="1"/>
      <c r="AA180" s="1"/>
    </row>
    <row r="181" spans="2:27" ht="14.25" customHeight="1" x14ac:dyDescent="0.3">
      <c r="B181" s="1"/>
      <c r="C181" s="1"/>
      <c r="D181" s="1"/>
      <c r="E181" s="1"/>
      <c r="F181" s="1"/>
      <c r="G181" s="1"/>
      <c r="H181" s="1"/>
      <c r="I181" s="1"/>
      <c r="J181" s="1"/>
      <c r="K181" s="1"/>
      <c r="L181" s="1"/>
      <c r="M181" s="1"/>
      <c r="N181" s="1"/>
      <c r="O181" s="50"/>
      <c r="P181" s="1"/>
      <c r="Q181" s="1"/>
      <c r="R181" s="1"/>
      <c r="S181" s="1"/>
      <c r="T181" s="1"/>
      <c r="U181" s="1"/>
      <c r="V181" s="1"/>
      <c r="W181" s="1"/>
      <c r="X181" s="1"/>
      <c r="Y181" s="1"/>
      <c r="Z181" s="1"/>
      <c r="AA181" s="1"/>
    </row>
    <row r="182" spans="2:27" ht="14.25" customHeight="1" x14ac:dyDescent="0.3">
      <c r="B182" s="1"/>
      <c r="C182" s="1"/>
      <c r="D182" s="1"/>
      <c r="E182" s="1"/>
      <c r="F182" s="1"/>
      <c r="G182" s="1"/>
      <c r="H182" s="1"/>
      <c r="I182" s="1"/>
      <c r="J182" s="1"/>
      <c r="K182" s="1"/>
      <c r="L182" s="1"/>
      <c r="M182" s="1"/>
      <c r="N182" s="1"/>
      <c r="O182" s="50"/>
      <c r="P182" s="1"/>
      <c r="Q182" s="1"/>
      <c r="R182" s="1"/>
      <c r="S182" s="1"/>
      <c r="T182" s="1"/>
      <c r="U182" s="1"/>
      <c r="V182" s="1"/>
      <c r="W182" s="1"/>
      <c r="X182" s="1"/>
      <c r="Y182" s="1"/>
      <c r="Z182" s="1"/>
      <c r="AA182" s="1"/>
    </row>
    <row r="183" spans="2:27" ht="14.25" customHeight="1" x14ac:dyDescent="0.3">
      <c r="B183" s="1"/>
      <c r="C183" s="1"/>
      <c r="D183" s="1"/>
      <c r="E183" s="1"/>
      <c r="F183" s="1"/>
      <c r="G183" s="1"/>
      <c r="H183" s="1"/>
      <c r="I183" s="1"/>
      <c r="J183" s="1"/>
      <c r="K183" s="1"/>
      <c r="L183" s="1"/>
      <c r="M183" s="1"/>
      <c r="N183" s="1"/>
      <c r="O183" s="50"/>
      <c r="P183" s="1"/>
      <c r="Q183" s="1"/>
      <c r="R183" s="1"/>
      <c r="S183" s="1"/>
      <c r="T183" s="1"/>
      <c r="U183" s="1"/>
      <c r="V183" s="1"/>
      <c r="W183" s="1"/>
      <c r="X183" s="1"/>
      <c r="Y183" s="1"/>
      <c r="Z183" s="1"/>
      <c r="AA183" s="1"/>
    </row>
    <row r="184" spans="2:27" ht="14.25" customHeight="1" x14ac:dyDescent="0.3">
      <c r="B184" s="1"/>
      <c r="C184" s="1"/>
      <c r="D184" s="1"/>
      <c r="E184" s="1"/>
      <c r="F184" s="1"/>
      <c r="G184" s="1"/>
      <c r="H184" s="1"/>
      <c r="I184" s="1"/>
      <c r="J184" s="1"/>
      <c r="K184" s="1"/>
      <c r="L184" s="1"/>
      <c r="M184" s="1"/>
      <c r="N184" s="1"/>
      <c r="O184" s="50"/>
      <c r="P184" s="1"/>
      <c r="Q184" s="1"/>
      <c r="R184" s="1"/>
      <c r="S184" s="1"/>
      <c r="T184" s="1"/>
      <c r="U184" s="1"/>
      <c r="V184" s="1"/>
      <c r="W184" s="1"/>
      <c r="X184" s="1"/>
      <c r="Y184" s="1"/>
      <c r="Z184" s="1"/>
      <c r="AA184" s="1"/>
    </row>
    <row r="185" spans="2:27" ht="14.25" customHeight="1" x14ac:dyDescent="0.3">
      <c r="B185" s="1"/>
      <c r="C185" s="1"/>
      <c r="D185" s="1"/>
      <c r="E185" s="1"/>
      <c r="F185" s="1"/>
      <c r="G185" s="1"/>
      <c r="H185" s="1"/>
      <c r="I185" s="1"/>
      <c r="J185" s="1"/>
      <c r="K185" s="1"/>
      <c r="L185" s="1"/>
      <c r="M185" s="1"/>
      <c r="N185" s="1"/>
      <c r="O185" s="50"/>
      <c r="P185" s="1"/>
      <c r="Q185" s="1"/>
      <c r="R185" s="1"/>
      <c r="S185" s="1"/>
      <c r="T185" s="1"/>
      <c r="U185" s="1"/>
      <c r="V185" s="1"/>
      <c r="W185" s="1"/>
      <c r="X185" s="1"/>
      <c r="Y185" s="1"/>
      <c r="Z185" s="1"/>
      <c r="AA185" s="1"/>
    </row>
    <row r="186" spans="2:27" ht="14.25" customHeight="1" x14ac:dyDescent="0.3">
      <c r="B186" s="1"/>
      <c r="C186" s="1"/>
      <c r="D186" s="1"/>
      <c r="E186" s="1"/>
      <c r="F186" s="1"/>
      <c r="G186" s="1"/>
      <c r="H186" s="1"/>
      <c r="I186" s="1"/>
      <c r="J186" s="1"/>
      <c r="K186" s="1"/>
      <c r="L186" s="1"/>
      <c r="M186" s="1"/>
      <c r="N186" s="1"/>
      <c r="O186" s="50"/>
      <c r="P186" s="1"/>
      <c r="Q186" s="1"/>
      <c r="R186" s="1"/>
      <c r="S186" s="1"/>
      <c r="T186" s="1"/>
      <c r="U186" s="1"/>
      <c r="V186" s="1"/>
      <c r="W186" s="1"/>
      <c r="X186" s="1"/>
      <c r="Y186" s="1"/>
      <c r="Z186" s="1"/>
      <c r="AA186" s="1"/>
    </row>
    <row r="187" spans="2:27" ht="14.25" customHeight="1" x14ac:dyDescent="0.3">
      <c r="B187" s="1"/>
      <c r="C187" s="1"/>
      <c r="D187" s="1"/>
      <c r="E187" s="1"/>
      <c r="F187" s="1"/>
      <c r="G187" s="1"/>
      <c r="H187" s="1"/>
      <c r="I187" s="1"/>
      <c r="J187" s="1"/>
      <c r="K187" s="1"/>
      <c r="L187" s="1"/>
      <c r="M187" s="1"/>
      <c r="N187" s="1"/>
      <c r="O187" s="50"/>
      <c r="P187" s="1"/>
      <c r="Q187" s="1"/>
      <c r="R187" s="1"/>
      <c r="S187" s="1"/>
      <c r="T187" s="1"/>
      <c r="U187" s="1"/>
      <c r="V187" s="1"/>
      <c r="W187" s="1"/>
      <c r="X187" s="1"/>
      <c r="Y187" s="1"/>
      <c r="Z187" s="1"/>
      <c r="AA187" s="1"/>
    </row>
    <row r="188" spans="2:27" ht="14.25" customHeight="1" x14ac:dyDescent="0.3">
      <c r="B188" s="1"/>
      <c r="C188" s="1"/>
      <c r="D188" s="1"/>
      <c r="E188" s="1"/>
      <c r="F188" s="1"/>
      <c r="G188" s="1"/>
      <c r="H188" s="1"/>
      <c r="I188" s="1"/>
      <c r="J188" s="1"/>
      <c r="K188" s="1"/>
      <c r="L188" s="1"/>
      <c r="M188" s="1"/>
      <c r="N188" s="1"/>
      <c r="O188" s="50"/>
      <c r="P188" s="1"/>
      <c r="Q188" s="1"/>
      <c r="R188" s="1"/>
      <c r="S188" s="1"/>
      <c r="T188" s="1"/>
      <c r="U188" s="1"/>
      <c r="V188" s="1"/>
      <c r="W188" s="1"/>
      <c r="X188" s="1"/>
      <c r="Y188" s="1"/>
      <c r="Z188" s="1"/>
      <c r="AA188" s="1"/>
    </row>
    <row r="189" spans="2:27" ht="14.25" customHeight="1" x14ac:dyDescent="0.3">
      <c r="B189" s="1"/>
      <c r="C189" s="1"/>
      <c r="D189" s="1"/>
      <c r="E189" s="1"/>
      <c r="F189" s="1"/>
      <c r="G189" s="1"/>
      <c r="H189" s="1"/>
      <c r="I189" s="1"/>
      <c r="J189" s="1"/>
      <c r="K189" s="1"/>
      <c r="L189" s="1"/>
      <c r="M189" s="1"/>
      <c r="N189" s="1"/>
      <c r="O189" s="50"/>
      <c r="P189" s="1"/>
      <c r="Q189" s="1"/>
      <c r="R189" s="1"/>
      <c r="S189" s="1"/>
      <c r="T189" s="1"/>
      <c r="U189" s="1"/>
      <c r="V189" s="1"/>
      <c r="W189" s="1"/>
      <c r="X189" s="1"/>
      <c r="Y189" s="1"/>
      <c r="Z189" s="1"/>
      <c r="AA189" s="1"/>
    </row>
    <row r="190" spans="2:27" ht="14.25" customHeight="1" x14ac:dyDescent="0.3">
      <c r="B190" s="1"/>
      <c r="C190" s="1"/>
      <c r="D190" s="1"/>
      <c r="E190" s="1"/>
      <c r="F190" s="1"/>
      <c r="G190" s="1"/>
      <c r="H190" s="1"/>
      <c r="I190" s="1"/>
      <c r="J190" s="1"/>
      <c r="K190" s="1"/>
      <c r="L190" s="1"/>
      <c r="M190" s="1"/>
      <c r="N190" s="1"/>
      <c r="O190" s="50"/>
      <c r="P190" s="1"/>
      <c r="Q190" s="1"/>
      <c r="R190" s="1"/>
      <c r="S190" s="1"/>
      <c r="T190" s="1"/>
      <c r="U190" s="1"/>
      <c r="V190" s="1"/>
      <c r="W190" s="1"/>
      <c r="X190" s="1"/>
      <c r="Y190" s="1"/>
      <c r="Z190" s="1"/>
      <c r="AA190" s="1"/>
    </row>
    <row r="191" spans="2:27" ht="14.25" customHeight="1" x14ac:dyDescent="0.3">
      <c r="B191" s="1"/>
      <c r="C191" s="1"/>
      <c r="D191" s="1"/>
      <c r="E191" s="1"/>
      <c r="F191" s="1"/>
      <c r="G191" s="1"/>
      <c r="H191" s="1"/>
      <c r="I191" s="1"/>
      <c r="J191" s="1"/>
      <c r="K191" s="1"/>
      <c r="L191" s="1"/>
      <c r="M191" s="1"/>
      <c r="N191" s="1"/>
      <c r="O191" s="50"/>
      <c r="P191" s="1"/>
      <c r="Q191" s="1"/>
      <c r="R191" s="1"/>
      <c r="S191" s="1"/>
      <c r="T191" s="1"/>
      <c r="U191" s="1"/>
      <c r="V191" s="1"/>
      <c r="W191" s="1"/>
      <c r="X191" s="1"/>
      <c r="Y191" s="1"/>
      <c r="Z191" s="1"/>
      <c r="AA191" s="1"/>
    </row>
    <row r="192" spans="2:27" ht="14.25" customHeight="1" x14ac:dyDescent="0.3">
      <c r="B192" s="1"/>
      <c r="C192" s="1"/>
      <c r="D192" s="1"/>
      <c r="E192" s="1"/>
      <c r="F192" s="1"/>
      <c r="G192" s="1"/>
      <c r="H192" s="1"/>
      <c r="I192" s="1"/>
      <c r="J192" s="1"/>
      <c r="K192" s="1"/>
      <c r="L192" s="1"/>
      <c r="M192" s="1"/>
      <c r="N192" s="1"/>
      <c r="O192" s="50"/>
      <c r="P192" s="1"/>
      <c r="Q192" s="1"/>
      <c r="R192" s="1"/>
      <c r="S192" s="1"/>
      <c r="T192" s="1"/>
      <c r="U192" s="1"/>
      <c r="V192" s="1"/>
      <c r="W192" s="1"/>
      <c r="X192" s="1"/>
      <c r="Y192" s="1"/>
      <c r="Z192" s="1"/>
      <c r="AA192" s="1"/>
    </row>
    <row r="193" spans="2:27" ht="14.25" customHeight="1" x14ac:dyDescent="0.3">
      <c r="B193" s="1"/>
      <c r="C193" s="1"/>
      <c r="D193" s="1"/>
      <c r="E193" s="1"/>
      <c r="F193" s="1"/>
      <c r="G193" s="1"/>
      <c r="H193" s="1"/>
      <c r="I193" s="1"/>
      <c r="J193" s="1"/>
      <c r="K193" s="1"/>
      <c r="L193" s="1"/>
      <c r="M193" s="1"/>
      <c r="N193" s="1"/>
      <c r="O193" s="50"/>
      <c r="P193" s="1"/>
      <c r="Q193" s="1"/>
      <c r="R193" s="1"/>
      <c r="S193" s="1"/>
      <c r="T193" s="1"/>
      <c r="U193" s="1"/>
      <c r="V193" s="1"/>
      <c r="W193" s="1"/>
      <c r="X193" s="1"/>
      <c r="Y193" s="1"/>
      <c r="Z193" s="1"/>
      <c r="AA193" s="1"/>
    </row>
    <row r="194" spans="2:27" ht="14.25" customHeight="1" x14ac:dyDescent="0.3">
      <c r="B194" s="1"/>
      <c r="C194" s="1"/>
      <c r="D194" s="1"/>
      <c r="E194" s="1"/>
      <c r="F194" s="1"/>
      <c r="G194" s="1"/>
      <c r="H194" s="1"/>
      <c r="I194" s="1"/>
      <c r="J194" s="1"/>
      <c r="K194" s="1"/>
      <c r="L194" s="1"/>
      <c r="M194" s="1"/>
      <c r="N194" s="1"/>
      <c r="O194" s="50"/>
      <c r="P194" s="1"/>
      <c r="Q194" s="1"/>
      <c r="R194" s="1"/>
      <c r="S194" s="1"/>
      <c r="T194" s="1"/>
      <c r="U194" s="1"/>
      <c r="V194" s="1"/>
      <c r="W194" s="1"/>
      <c r="X194" s="1"/>
      <c r="Y194" s="1"/>
      <c r="Z194" s="1"/>
      <c r="AA194" s="1"/>
    </row>
    <row r="195" spans="2:27" ht="14.25" customHeight="1" x14ac:dyDescent="0.3">
      <c r="B195" s="1"/>
      <c r="C195" s="1"/>
      <c r="D195" s="1"/>
      <c r="E195" s="1"/>
      <c r="F195" s="1"/>
      <c r="G195" s="1"/>
      <c r="H195" s="1"/>
      <c r="I195" s="1"/>
      <c r="J195" s="1"/>
      <c r="K195" s="1"/>
      <c r="L195" s="1"/>
      <c r="M195" s="1"/>
      <c r="N195" s="1"/>
      <c r="O195" s="50"/>
      <c r="P195" s="1"/>
      <c r="Q195" s="1"/>
      <c r="R195" s="1"/>
      <c r="S195" s="1"/>
      <c r="T195" s="1"/>
      <c r="U195" s="1"/>
      <c r="V195" s="1"/>
      <c r="W195" s="1"/>
      <c r="X195" s="1"/>
      <c r="Y195" s="1"/>
      <c r="Z195" s="1"/>
      <c r="AA195" s="1"/>
    </row>
    <row r="196" spans="2:27" ht="14.25" customHeight="1" x14ac:dyDescent="0.3">
      <c r="B196" s="1"/>
      <c r="C196" s="1"/>
      <c r="D196" s="1"/>
      <c r="E196" s="1"/>
      <c r="F196" s="1"/>
      <c r="G196" s="1"/>
      <c r="H196" s="1"/>
      <c r="I196" s="1"/>
      <c r="J196" s="1"/>
      <c r="K196" s="1"/>
      <c r="L196" s="1"/>
      <c r="M196" s="1"/>
      <c r="N196" s="1"/>
      <c r="O196" s="50"/>
      <c r="P196" s="1"/>
      <c r="Q196" s="1"/>
      <c r="R196" s="1"/>
      <c r="S196" s="1"/>
      <c r="T196" s="1"/>
      <c r="U196" s="1"/>
      <c r="V196" s="1"/>
      <c r="W196" s="1"/>
      <c r="X196" s="1"/>
      <c r="Y196" s="1"/>
      <c r="Z196" s="1"/>
      <c r="AA196" s="1"/>
    </row>
    <row r="197" spans="2:27" ht="14.25" customHeight="1" x14ac:dyDescent="0.3">
      <c r="B197" s="1"/>
      <c r="C197" s="1"/>
      <c r="D197" s="1"/>
      <c r="E197" s="1"/>
      <c r="F197" s="1"/>
      <c r="G197" s="1"/>
      <c r="H197" s="1"/>
      <c r="I197" s="1"/>
      <c r="J197" s="1"/>
      <c r="K197" s="1"/>
      <c r="L197" s="1"/>
      <c r="M197" s="1"/>
      <c r="N197" s="1"/>
      <c r="O197" s="50"/>
      <c r="P197" s="1"/>
      <c r="Q197" s="1"/>
      <c r="R197" s="1"/>
      <c r="S197" s="1"/>
      <c r="T197" s="1"/>
      <c r="U197" s="1"/>
      <c r="V197" s="1"/>
      <c r="W197" s="1"/>
      <c r="X197" s="1"/>
      <c r="Y197" s="1"/>
      <c r="Z197" s="1"/>
      <c r="AA197" s="1"/>
    </row>
    <row r="198" spans="2:27" ht="14.25" customHeight="1" x14ac:dyDescent="0.3">
      <c r="B198" s="1"/>
      <c r="C198" s="1"/>
      <c r="D198" s="1"/>
      <c r="E198" s="1"/>
      <c r="F198" s="1"/>
      <c r="G198" s="1"/>
      <c r="H198" s="1"/>
      <c r="I198" s="1"/>
      <c r="J198" s="1"/>
      <c r="K198" s="1"/>
      <c r="L198" s="1"/>
      <c r="M198" s="1"/>
      <c r="N198" s="1"/>
      <c r="O198" s="50"/>
      <c r="P198" s="1"/>
      <c r="Q198" s="1"/>
      <c r="R198" s="1"/>
      <c r="S198" s="1"/>
      <c r="T198" s="1"/>
      <c r="U198" s="1"/>
      <c r="V198" s="1"/>
      <c r="W198" s="1"/>
      <c r="X198" s="1"/>
      <c r="Y198" s="1"/>
      <c r="Z198" s="1"/>
      <c r="AA198" s="1"/>
    </row>
    <row r="199" spans="2:27" ht="14.25" customHeight="1" x14ac:dyDescent="0.3">
      <c r="B199" s="1"/>
      <c r="C199" s="1"/>
      <c r="D199" s="1"/>
      <c r="E199" s="1"/>
      <c r="F199" s="1"/>
      <c r="G199" s="1"/>
      <c r="H199" s="1"/>
      <c r="I199" s="1"/>
      <c r="J199" s="1"/>
      <c r="K199" s="1"/>
      <c r="L199" s="1"/>
      <c r="M199" s="1"/>
      <c r="N199" s="1"/>
      <c r="O199" s="50"/>
      <c r="P199" s="1"/>
      <c r="Q199" s="1"/>
      <c r="R199" s="1"/>
      <c r="S199" s="1"/>
      <c r="T199" s="1"/>
      <c r="U199" s="1"/>
      <c r="V199" s="1"/>
      <c r="W199" s="1"/>
      <c r="X199" s="1"/>
      <c r="Y199" s="1"/>
      <c r="Z199" s="1"/>
      <c r="AA199" s="1"/>
    </row>
    <row r="200" spans="2:27" ht="14.25" customHeight="1" x14ac:dyDescent="0.3">
      <c r="B200" s="1"/>
      <c r="C200" s="1"/>
      <c r="D200" s="1"/>
      <c r="E200" s="1"/>
      <c r="F200" s="1"/>
      <c r="G200" s="1"/>
      <c r="H200" s="1"/>
      <c r="I200" s="1"/>
      <c r="J200" s="1"/>
      <c r="K200" s="1"/>
      <c r="L200" s="1"/>
      <c r="M200" s="1"/>
      <c r="N200" s="1"/>
      <c r="O200" s="50"/>
      <c r="P200" s="1"/>
      <c r="Q200" s="1"/>
      <c r="R200" s="1"/>
      <c r="S200" s="1"/>
      <c r="T200" s="1"/>
      <c r="U200" s="1"/>
      <c r="V200" s="1"/>
      <c r="W200" s="1"/>
      <c r="X200" s="1"/>
      <c r="Y200" s="1"/>
      <c r="Z200" s="1"/>
      <c r="AA200" s="1"/>
    </row>
    <row r="201" spans="2:27" ht="14.25" customHeight="1" x14ac:dyDescent="0.3">
      <c r="B201" s="1"/>
      <c r="C201" s="1"/>
      <c r="D201" s="1"/>
      <c r="E201" s="1"/>
      <c r="F201" s="1"/>
      <c r="G201" s="1"/>
      <c r="H201" s="1"/>
      <c r="I201" s="1"/>
      <c r="J201" s="1"/>
      <c r="K201" s="1"/>
      <c r="L201" s="1"/>
      <c r="M201" s="1"/>
      <c r="N201" s="1"/>
      <c r="O201" s="50"/>
      <c r="P201" s="1"/>
      <c r="Q201" s="1"/>
      <c r="R201" s="1"/>
      <c r="S201" s="1"/>
      <c r="T201" s="1"/>
      <c r="U201" s="1"/>
      <c r="V201" s="1"/>
      <c r="W201" s="1"/>
      <c r="X201" s="1"/>
      <c r="Y201" s="1"/>
      <c r="Z201" s="1"/>
      <c r="AA201" s="1"/>
    </row>
    <row r="202" spans="2:27" ht="14.25" customHeight="1" x14ac:dyDescent="0.3">
      <c r="B202" s="1"/>
      <c r="C202" s="1"/>
      <c r="D202" s="1"/>
      <c r="E202" s="1"/>
      <c r="F202" s="1"/>
      <c r="G202" s="1"/>
      <c r="H202" s="1"/>
      <c r="I202" s="1"/>
      <c r="J202" s="1"/>
      <c r="K202" s="1"/>
      <c r="L202" s="1"/>
      <c r="M202" s="1"/>
      <c r="N202" s="1"/>
      <c r="O202" s="50"/>
      <c r="P202" s="1"/>
      <c r="Q202" s="1"/>
      <c r="R202" s="1"/>
      <c r="S202" s="1"/>
      <c r="T202" s="1"/>
      <c r="U202" s="1"/>
      <c r="V202" s="1"/>
      <c r="W202" s="1"/>
      <c r="X202" s="1"/>
      <c r="Y202" s="1"/>
      <c r="Z202" s="1"/>
      <c r="AA202" s="1"/>
    </row>
    <row r="203" spans="2:27" ht="14.25" customHeight="1" x14ac:dyDescent="0.3">
      <c r="B203" s="1"/>
      <c r="C203" s="1"/>
      <c r="D203" s="1"/>
      <c r="E203" s="1"/>
      <c r="F203" s="1"/>
      <c r="G203" s="1"/>
      <c r="H203" s="1"/>
      <c r="I203" s="1"/>
      <c r="J203" s="1"/>
      <c r="K203" s="1"/>
      <c r="L203" s="1"/>
      <c r="M203" s="1"/>
      <c r="N203" s="1"/>
      <c r="O203" s="50"/>
      <c r="P203" s="1"/>
      <c r="Q203" s="1"/>
      <c r="R203" s="1"/>
      <c r="S203" s="1"/>
      <c r="T203" s="1"/>
      <c r="U203" s="1"/>
      <c r="V203" s="1"/>
      <c r="W203" s="1"/>
      <c r="X203" s="1"/>
      <c r="Y203" s="1"/>
      <c r="Z203" s="1"/>
      <c r="AA203" s="1"/>
    </row>
    <row r="204" spans="2:27" ht="14.25" customHeight="1" x14ac:dyDescent="0.3">
      <c r="B204" s="1"/>
      <c r="C204" s="1"/>
      <c r="D204" s="1"/>
      <c r="E204" s="1"/>
      <c r="F204" s="1"/>
      <c r="G204" s="1"/>
      <c r="H204" s="1"/>
      <c r="I204" s="1"/>
      <c r="J204" s="1"/>
      <c r="K204" s="1"/>
      <c r="L204" s="1"/>
      <c r="M204" s="1"/>
      <c r="N204" s="1"/>
      <c r="O204" s="50"/>
      <c r="P204" s="1"/>
      <c r="Q204" s="1"/>
      <c r="R204" s="1"/>
      <c r="S204" s="1"/>
      <c r="T204" s="1"/>
      <c r="U204" s="1"/>
      <c r="V204" s="1"/>
      <c r="W204" s="1"/>
      <c r="X204" s="1"/>
      <c r="Y204" s="1"/>
      <c r="Z204" s="1"/>
      <c r="AA204" s="1"/>
    </row>
    <row r="205" spans="2:27" ht="14.25" customHeight="1" x14ac:dyDescent="0.3">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2:27" ht="14.25" customHeight="1" x14ac:dyDescent="0.3">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2:27" ht="14.25" customHeight="1" x14ac:dyDescent="0.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2:27" ht="14.25" customHeight="1" x14ac:dyDescent="0.3">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2:27" ht="14.25" customHeight="1" x14ac:dyDescent="0.3">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2:27" ht="14.25" customHeight="1" x14ac:dyDescent="0.3">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2:27" ht="14.25" customHeight="1" x14ac:dyDescent="0.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2:27" ht="14.25" customHeight="1" x14ac:dyDescent="0.3">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2:27" ht="14.25" customHeight="1" x14ac:dyDescent="0.3">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2:27" ht="14.25" customHeight="1" x14ac:dyDescent="0.3">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2:27" ht="14.25" customHeight="1" x14ac:dyDescent="0.3">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2:27" ht="14.25" customHeight="1" x14ac:dyDescent="0.3">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2:27" ht="14.25" customHeight="1" x14ac:dyDescent="0.3">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2:27" ht="14.25" customHeight="1" x14ac:dyDescent="0.3">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2:27" ht="14.25" customHeight="1" x14ac:dyDescent="0.3">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2:27" ht="14.25" customHeight="1" x14ac:dyDescent="0.3">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2:27" ht="14.25" customHeight="1" x14ac:dyDescent="0.3">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2:27" ht="14.25" customHeight="1" x14ac:dyDescent="0.3">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2:27" ht="14.25" customHeight="1" x14ac:dyDescent="0.3">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2:27" ht="14.25" customHeight="1" x14ac:dyDescent="0.3">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2:27" ht="14.25" customHeight="1" x14ac:dyDescent="0.3">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2:27" ht="14.25" customHeight="1" x14ac:dyDescent="0.3">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2:27" ht="14.25" customHeight="1" x14ac:dyDescent="0.3">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2:27" ht="14.25" customHeight="1" x14ac:dyDescent="0.3">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2:27" ht="14.25" customHeight="1" x14ac:dyDescent="0.3">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2:27" ht="14.25" customHeight="1" x14ac:dyDescent="0.3">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2:27" ht="14.25" customHeight="1" x14ac:dyDescent="0.3">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2:27" ht="14.25" customHeight="1" x14ac:dyDescent="0.3">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2:27" ht="14.25" customHeight="1" x14ac:dyDescent="0.3">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2:27" ht="14.25" customHeight="1" x14ac:dyDescent="0.3">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2:27" ht="14.25" customHeight="1" x14ac:dyDescent="0.3">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2:27" ht="14.25" customHeight="1" x14ac:dyDescent="0.3">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2:27" ht="14.25" customHeight="1" x14ac:dyDescent="0.3">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2:27" ht="14.25" customHeight="1" x14ac:dyDescent="0.3">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2:27" ht="14.25" customHeight="1" x14ac:dyDescent="0.3">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2:27" ht="14.25" customHeight="1" x14ac:dyDescent="0.3">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2:27" ht="14.25" customHeight="1" x14ac:dyDescent="0.3">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2:27" ht="14.25" customHeight="1" x14ac:dyDescent="0.3">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2:27" ht="14.25" customHeight="1" x14ac:dyDescent="0.3">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2:27" ht="14.25" customHeight="1" x14ac:dyDescent="0.3">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2:27" ht="14.25" customHeight="1" x14ac:dyDescent="0.3">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2:27" ht="14.25" customHeight="1" x14ac:dyDescent="0.3">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2:27" ht="14.25" customHeight="1" x14ac:dyDescent="0.3">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2:27" ht="14.25" customHeight="1" x14ac:dyDescent="0.3">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2:27" ht="14.25" customHeight="1" x14ac:dyDescent="0.3">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2:27" ht="14.25" customHeight="1" x14ac:dyDescent="0.3">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2:27" ht="14.25" customHeight="1" x14ac:dyDescent="0.3">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2:27" ht="14.25" customHeight="1" x14ac:dyDescent="0.3">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2:27" ht="14.25" customHeight="1" x14ac:dyDescent="0.3">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2:27" ht="14.25" customHeight="1" x14ac:dyDescent="0.3">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2:27" ht="14.25" customHeight="1" x14ac:dyDescent="0.3">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2:27" ht="14.25" customHeight="1" x14ac:dyDescent="0.3">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2:27" ht="14.25" customHeight="1" x14ac:dyDescent="0.3">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2:27" ht="14.25" customHeight="1" x14ac:dyDescent="0.3">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2:27" ht="14.25" customHeight="1" x14ac:dyDescent="0.3">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2:27" ht="14.25" customHeight="1" x14ac:dyDescent="0.3">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2:27" ht="14.25" customHeight="1" x14ac:dyDescent="0.3">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2:27" ht="14.25" customHeight="1" x14ac:dyDescent="0.3">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2:27" ht="14.25" customHeight="1" x14ac:dyDescent="0.3">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2:27" ht="14.25" customHeight="1" x14ac:dyDescent="0.3">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2:27" ht="14.25" customHeight="1" x14ac:dyDescent="0.3">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2:27" ht="14.25" customHeight="1" x14ac:dyDescent="0.3">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2:27" ht="14.25" customHeight="1" x14ac:dyDescent="0.3">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2:27" ht="14.25" customHeight="1" x14ac:dyDescent="0.3">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2:27" ht="14.25" customHeight="1" x14ac:dyDescent="0.3">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2:27" ht="14.25" customHeight="1" x14ac:dyDescent="0.3">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2:27" ht="14.25" customHeight="1" x14ac:dyDescent="0.3">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2:27" ht="14.25" customHeight="1" x14ac:dyDescent="0.3">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2:27" ht="14.25" customHeight="1" x14ac:dyDescent="0.3">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2:27" ht="14.25" customHeight="1" x14ac:dyDescent="0.3">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2:27" ht="14.25" customHeight="1" x14ac:dyDescent="0.3">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2:27" ht="14.25" customHeight="1" x14ac:dyDescent="0.3">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2:27" ht="14.25" customHeight="1" x14ac:dyDescent="0.3">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2:27" ht="14.25" customHeight="1" x14ac:dyDescent="0.3">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2:27" ht="14.25" customHeight="1" x14ac:dyDescent="0.3">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2:27" ht="14.25" customHeight="1" x14ac:dyDescent="0.3">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2:27" ht="14.25" customHeight="1" x14ac:dyDescent="0.3">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2:27" ht="14.25" customHeight="1" x14ac:dyDescent="0.3">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2:27" ht="14.25" customHeight="1" x14ac:dyDescent="0.3">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2:27" ht="14.25" customHeight="1" x14ac:dyDescent="0.3">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2:27" ht="14.25" customHeight="1" x14ac:dyDescent="0.3">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2:27" ht="14.25" customHeight="1" x14ac:dyDescent="0.3">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2:27" ht="14.25" customHeight="1" x14ac:dyDescent="0.3">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2:27" ht="14.25" customHeight="1" x14ac:dyDescent="0.3">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2:27" ht="14.25" customHeight="1" x14ac:dyDescent="0.3">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2:27" ht="14.25" customHeight="1" x14ac:dyDescent="0.3">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2:27" ht="14.25" customHeight="1" x14ac:dyDescent="0.3">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2:27" ht="14.25" customHeight="1" x14ac:dyDescent="0.3">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2:27" ht="14.25" customHeight="1" x14ac:dyDescent="0.3">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2:27" ht="14.25" customHeight="1" x14ac:dyDescent="0.3">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2:27" ht="14.25" customHeight="1" x14ac:dyDescent="0.3">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2:27" ht="14.25" customHeight="1" x14ac:dyDescent="0.3">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2:27" ht="14.25" customHeight="1" x14ac:dyDescent="0.3">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2:27" ht="14.25" customHeight="1" x14ac:dyDescent="0.3">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2:27" ht="14.25" customHeight="1" x14ac:dyDescent="0.3">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2:27" ht="14.25" customHeight="1" x14ac:dyDescent="0.3">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2:27" ht="14.25" customHeight="1" x14ac:dyDescent="0.3">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2:27" ht="14.25" customHeight="1" x14ac:dyDescent="0.3">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2:27" ht="14.25" customHeight="1" x14ac:dyDescent="0.3">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2:27" ht="14.25" customHeight="1" x14ac:dyDescent="0.3">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2:27" ht="14.25" customHeight="1" x14ac:dyDescent="0.3">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2:27" ht="14.25" customHeight="1" x14ac:dyDescent="0.3">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2:27" ht="14.25" customHeight="1" x14ac:dyDescent="0.3">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2:27" ht="14.25" customHeight="1" x14ac:dyDescent="0.3">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2:27" ht="14.25" customHeight="1" x14ac:dyDescent="0.3">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2:27" ht="14.25" customHeight="1" x14ac:dyDescent="0.3">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2:27" ht="14.25" customHeight="1" x14ac:dyDescent="0.3">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2:27" ht="14.25" customHeight="1" x14ac:dyDescent="0.3">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2:27" ht="14.25" customHeight="1" x14ac:dyDescent="0.3">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2:27" ht="14.25" customHeight="1" x14ac:dyDescent="0.3">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2:27" ht="14.25" customHeight="1" x14ac:dyDescent="0.3">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2:27" ht="14.25" customHeight="1" x14ac:dyDescent="0.3">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2:27" ht="14.25" customHeight="1" x14ac:dyDescent="0.3">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2:27" ht="14.25" customHeight="1" x14ac:dyDescent="0.3">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2:27" ht="14.25" customHeight="1" x14ac:dyDescent="0.3">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2:27" ht="14.25" customHeight="1" x14ac:dyDescent="0.3">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2:27" ht="14.25" customHeight="1" x14ac:dyDescent="0.3">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2:27" ht="14.25" customHeight="1" x14ac:dyDescent="0.3">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2:27" ht="14.25" customHeight="1" x14ac:dyDescent="0.3">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2:27" ht="14.25" customHeight="1" x14ac:dyDescent="0.3">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2:27" ht="14.25" customHeight="1" x14ac:dyDescent="0.3">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2:27" ht="14.25" customHeight="1" x14ac:dyDescent="0.3">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2:27" ht="14.25" customHeight="1" x14ac:dyDescent="0.3">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2:27" ht="14.25" customHeight="1" x14ac:dyDescent="0.3">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2:27" ht="14.25" customHeight="1" x14ac:dyDescent="0.3">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2:27" ht="14.25" customHeight="1" x14ac:dyDescent="0.3">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2:27" ht="14.25" customHeight="1" x14ac:dyDescent="0.3">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2:27" ht="14.25" customHeight="1" x14ac:dyDescent="0.3">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2:27" ht="14.25" customHeight="1" x14ac:dyDescent="0.3">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2:27" ht="14.25" customHeight="1" x14ac:dyDescent="0.3">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2:27" ht="14.25" customHeight="1" x14ac:dyDescent="0.3">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2:27" ht="14.25" customHeight="1" x14ac:dyDescent="0.3">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2:27" ht="14.25" customHeight="1" x14ac:dyDescent="0.3">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2:27" ht="14.25" customHeight="1" x14ac:dyDescent="0.3">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2:27" ht="14.25" customHeight="1" x14ac:dyDescent="0.3">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2:27" ht="14.25" customHeight="1" x14ac:dyDescent="0.3">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2:27" ht="14.25" customHeight="1" x14ac:dyDescent="0.3">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2:27" ht="14.25" customHeight="1" x14ac:dyDescent="0.3">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2:27" ht="14.25" customHeight="1" x14ac:dyDescent="0.3">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2:27" ht="14.25" customHeight="1" x14ac:dyDescent="0.3">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2:27" ht="14.25" customHeight="1" x14ac:dyDescent="0.3">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2:27" ht="14.25" customHeight="1" x14ac:dyDescent="0.3">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2:27" ht="14.25" customHeight="1" x14ac:dyDescent="0.3">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2:27" ht="14.25" customHeight="1" x14ac:dyDescent="0.3">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2:27" ht="14.25" customHeight="1" x14ac:dyDescent="0.3">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2:27" ht="14.25" customHeight="1" x14ac:dyDescent="0.3">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2:27" ht="14.25" customHeight="1" x14ac:dyDescent="0.3">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2:27" ht="14.25" customHeight="1" x14ac:dyDescent="0.3">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2:27" ht="14.25" customHeight="1" x14ac:dyDescent="0.3">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2:27" ht="14.25" customHeight="1" x14ac:dyDescent="0.3">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2:27" ht="14.25" customHeight="1" x14ac:dyDescent="0.3">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2:27" ht="14.25" customHeight="1" x14ac:dyDescent="0.3">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2:27" ht="14.25" customHeight="1" x14ac:dyDescent="0.3">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2:27" ht="14.25" customHeight="1" x14ac:dyDescent="0.3">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2:27" ht="14.25" customHeight="1" x14ac:dyDescent="0.3">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2:27" ht="14.25" customHeight="1" x14ac:dyDescent="0.3">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2:27" ht="14.25" customHeight="1" x14ac:dyDescent="0.3">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2:27" ht="14.25" customHeight="1" x14ac:dyDescent="0.3">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2:27" ht="14.25" customHeight="1" x14ac:dyDescent="0.3">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2:27" ht="14.25" customHeight="1" x14ac:dyDescent="0.3">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2:27" ht="14.25" customHeight="1" x14ac:dyDescent="0.3">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2:27" ht="14.25" customHeight="1" x14ac:dyDescent="0.3">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2:27" ht="14.25" customHeight="1" x14ac:dyDescent="0.3">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2:27" ht="14.25" customHeight="1" x14ac:dyDescent="0.3">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2:27" ht="14.25" customHeight="1" x14ac:dyDescent="0.3">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2:27" ht="14.25" customHeight="1" x14ac:dyDescent="0.3">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2:27" ht="14.25" customHeight="1" x14ac:dyDescent="0.3">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2:27" ht="14.25" customHeight="1" x14ac:dyDescent="0.3">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2:27" ht="14.25" customHeight="1" x14ac:dyDescent="0.3">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2:27" ht="14.25" customHeight="1" x14ac:dyDescent="0.3">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2:27" ht="14.25" customHeight="1" x14ac:dyDescent="0.3">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2:27" ht="14.25" customHeight="1" x14ac:dyDescent="0.3">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2:27" ht="14.25" customHeight="1" x14ac:dyDescent="0.3">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2:27" ht="14.25" customHeight="1" x14ac:dyDescent="0.3">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2:27" ht="14.25" customHeight="1" x14ac:dyDescent="0.3">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2:27" ht="14.25" customHeight="1" x14ac:dyDescent="0.3">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2:27" ht="14.25" customHeight="1" x14ac:dyDescent="0.3">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2:27" ht="14.25" customHeight="1" x14ac:dyDescent="0.3">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2:27" ht="14.25" customHeight="1" x14ac:dyDescent="0.3">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2:27" ht="14.25" customHeight="1" x14ac:dyDescent="0.3">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2:27" ht="14.25" customHeight="1" x14ac:dyDescent="0.3">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2:27" ht="14.25" customHeight="1" x14ac:dyDescent="0.3">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2:27" ht="14.25" customHeight="1" x14ac:dyDescent="0.3">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2:27" ht="14.25" customHeight="1" x14ac:dyDescent="0.3">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2:27" ht="14.25" customHeight="1" x14ac:dyDescent="0.3">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2:27" ht="14.25" customHeight="1" x14ac:dyDescent="0.3">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2:27" ht="14.25" customHeight="1" x14ac:dyDescent="0.3">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2:27" ht="14.25" customHeight="1" x14ac:dyDescent="0.3">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2:27" ht="14.25" customHeight="1" x14ac:dyDescent="0.3">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2:27" ht="14.25" customHeight="1" x14ac:dyDescent="0.3">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2:27" ht="14.25" customHeight="1" x14ac:dyDescent="0.3">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2:27" ht="14.25" customHeight="1" x14ac:dyDescent="0.3">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2:27" ht="14.25" customHeight="1" x14ac:dyDescent="0.3">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2:27" ht="14.25" customHeight="1" x14ac:dyDescent="0.3">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2:27" ht="14.25" customHeight="1" x14ac:dyDescent="0.3">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2:27" ht="14.25" customHeight="1" x14ac:dyDescent="0.3">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2:27" ht="14.25" customHeight="1" x14ac:dyDescent="0.3">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2:27" ht="14.25" customHeight="1" x14ac:dyDescent="0.3">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2:27" ht="14.25" customHeight="1" x14ac:dyDescent="0.3">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2:27" ht="14.25" customHeight="1" x14ac:dyDescent="0.3">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2:27" ht="14.25" customHeight="1" x14ac:dyDescent="0.3">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2:27" ht="14.25" customHeight="1" x14ac:dyDescent="0.3">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2:27" ht="14.25" customHeight="1" x14ac:dyDescent="0.3">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2:27" ht="14.25" customHeight="1" x14ac:dyDescent="0.3">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2:27" ht="14.25" customHeight="1" x14ac:dyDescent="0.3">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2:27" ht="14.25" customHeight="1" x14ac:dyDescent="0.3">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2:27" ht="14.25" customHeight="1" x14ac:dyDescent="0.3">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2:27" ht="14.25" customHeight="1" x14ac:dyDescent="0.3">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2:27" ht="14.25" customHeight="1" x14ac:dyDescent="0.3">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2:27" ht="14.25" customHeight="1" x14ac:dyDescent="0.3">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2:27" ht="14.25" customHeight="1" x14ac:dyDescent="0.3">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2:27" ht="14.25" customHeight="1" x14ac:dyDescent="0.3">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2:27" ht="14.25" customHeight="1" x14ac:dyDescent="0.3">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2:27" ht="14.25" customHeight="1" x14ac:dyDescent="0.3">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2:27" ht="14.25" customHeight="1" x14ac:dyDescent="0.3">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2:27" ht="14.25" customHeight="1" x14ac:dyDescent="0.3">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2:27" ht="14.25" customHeight="1" x14ac:dyDescent="0.3">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2:27" ht="14.25" customHeight="1" x14ac:dyDescent="0.3">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2:27" ht="14.25" customHeight="1" x14ac:dyDescent="0.3">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2:27" ht="14.25" customHeight="1" x14ac:dyDescent="0.3">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2:27" ht="14.25" customHeight="1" x14ac:dyDescent="0.3">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2:27" ht="14.25" customHeight="1" x14ac:dyDescent="0.3">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2:27" ht="14.25" customHeight="1" x14ac:dyDescent="0.3">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2:27" ht="14.25" customHeight="1" x14ac:dyDescent="0.3">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2:27" ht="14.25" customHeight="1" x14ac:dyDescent="0.3">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2:27" ht="14.25" customHeight="1" x14ac:dyDescent="0.3">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2:27" ht="14.25" customHeight="1" x14ac:dyDescent="0.3">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2:27" ht="14.25" customHeight="1" x14ac:dyDescent="0.3">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2:27" ht="14.25" customHeight="1" x14ac:dyDescent="0.3">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2:27" ht="14.25" customHeight="1" x14ac:dyDescent="0.3">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2:27" ht="14.25" customHeight="1" x14ac:dyDescent="0.3">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2:27" ht="14.25" customHeight="1" x14ac:dyDescent="0.3">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2:27" ht="14.25" customHeight="1" x14ac:dyDescent="0.3">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2:27" ht="14.25" customHeight="1" x14ac:dyDescent="0.3">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2:27" ht="14.25" customHeight="1" x14ac:dyDescent="0.3">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2:27" ht="14.25" customHeight="1" x14ac:dyDescent="0.3">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2:27" ht="14.25" customHeight="1" x14ac:dyDescent="0.3">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2:27" ht="14.25" customHeight="1" x14ac:dyDescent="0.3">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2:27" ht="14.25" customHeight="1" x14ac:dyDescent="0.3">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2:27" ht="14.25" customHeight="1" x14ac:dyDescent="0.3">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2:27" ht="14.25" customHeight="1" x14ac:dyDescent="0.3">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2:27" ht="14.25" customHeight="1" x14ac:dyDescent="0.3">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2:27" ht="14.25" customHeight="1" x14ac:dyDescent="0.3">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2:27" ht="14.25" customHeight="1" x14ac:dyDescent="0.3">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2:27" ht="14.25" customHeight="1" x14ac:dyDescent="0.3">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2:27" ht="14.25" customHeight="1" x14ac:dyDescent="0.3">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2:27" ht="14.25" customHeight="1" x14ac:dyDescent="0.3">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2:27" ht="14.25" customHeight="1" x14ac:dyDescent="0.3">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2:27" ht="14.25" customHeight="1" x14ac:dyDescent="0.3">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2:27" ht="14.25" customHeight="1" x14ac:dyDescent="0.3">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2:27" ht="14.25" customHeight="1" x14ac:dyDescent="0.3">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2:27" ht="14.25" customHeight="1" x14ac:dyDescent="0.3">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2:27" ht="14.25" customHeight="1" x14ac:dyDescent="0.3">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2:27" ht="14.25" customHeight="1" x14ac:dyDescent="0.3">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2:27" ht="14.25" customHeight="1" x14ac:dyDescent="0.3">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2:27" ht="14.25" customHeight="1" x14ac:dyDescent="0.3">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2:27" ht="14.25" customHeight="1" x14ac:dyDescent="0.3">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2:27" ht="14.25" customHeight="1" x14ac:dyDescent="0.3">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2:27" ht="14.25" customHeight="1" x14ac:dyDescent="0.3">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2:27" ht="14.25" customHeight="1" x14ac:dyDescent="0.3">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2:27" ht="14.25" customHeight="1" x14ac:dyDescent="0.3">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2:27" ht="14.25" customHeight="1" x14ac:dyDescent="0.3">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2:27" ht="14.25" customHeight="1" x14ac:dyDescent="0.3">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2:27" ht="14.25" customHeight="1" x14ac:dyDescent="0.3">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2:27" ht="14.25" customHeight="1" x14ac:dyDescent="0.3">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2:27" ht="14.25" customHeight="1" x14ac:dyDescent="0.3">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2:27" ht="14.25" customHeight="1" x14ac:dyDescent="0.3">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2:27" ht="14.25" customHeight="1" x14ac:dyDescent="0.3">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2:27" ht="14.25" customHeight="1" x14ac:dyDescent="0.3">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2:27" ht="14.25" customHeight="1" x14ac:dyDescent="0.3">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2:27" ht="14.25" customHeight="1" x14ac:dyDescent="0.3">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2:27" ht="14.25" customHeight="1" x14ac:dyDescent="0.3">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2:27" ht="14.25" customHeight="1" x14ac:dyDescent="0.3">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2:27" ht="14.25" customHeight="1" x14ac:dyDescent="0.3">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2:27" ht="14.25" customHeight="1" x14ac:dyDescent="0.3">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2:27" ht="14.25" customHeight="1" x14ac:dyDescent="0.3">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2:27" ht="14.25" customHeight="1" x14ac:dyDescent="0.3">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2:27" ht="14.25" customHeight="1" x14ac:dyDescent="0.3">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2:27" ht="14.25" customHeight="1" x14ac:dyDescent="0.3">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2:27" ht="14.25" customHeight="1" x14ac:dyDescent="0.3">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2:27" ht="14.25" customHeight="1" x14ac:dyDescent="0.3">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2:27" ht="14.25" customHeight="1" x14ac:dyDescent="0.3">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2:27" ht="14.25" customHeight="1" x14ac:dyDescent="0.3">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2:27" ht="14.25" customHeight="1" x14ac:dyDescent="0.3">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2:27" ht="14.25" customHeight="1" x14ac:dyDescent="0.3">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2:27" ht="14.25" customHeight="1" x14ac:dyDescent="0.3">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2:27" ht="14.25" customHeight="1" x14ac:dyDescent="0.3">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2:27" ht="14.25" customHeight="1" x14ac:dyDescent="0.3">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2:27" ht="14.25" customHeight="1" x14ac:dyDescent="0.3">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2:27" ht="14.25" customHeight="1" x14ac:dyDescent="0.3">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2:27" ht="14.25" customHeight="1" x14ac:dyDescent="0.3">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2:27" ht="14.25" customHeight="1" x14ac:dyDescent="0.3">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2:27" ht="14.25" customHeight="1" x14ac:dyDescent="0.3">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2:27" ht="14.25" customHeight="1" x14ac:dyDescent="0.3">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2:27" ht="14.25" customHeight="1" x14ac:dyDescent="0.3">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2:27" ht="14.25" customHeight="1" x14ac:dyDescent="0.3">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2:27" ht="14.25" customHeight="1" x14ac:dyDescent="0.3">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2:27" ht="14.25" customHeight="1" x14ac:dyDescent="0.3">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2:27" ht="14.25" customHeight="1" x14ac:dyDescent="0.3">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2:27" ht="14.25" customHeight="1" x14ac:dyDescent="0.3">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2:27" ht="14.25" customHeight="1" x14ac:dyDescent="0.3">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2:27" ht="14.25" customHeight="1" x14ac:dyDescent="0.3">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2:27" ht="14.25" customHeight="1" x14ac:dyDescent="0.3">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2:27" ht="14.25" customHeight="1" x14ac:dyDescent="0.3">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2:27" ht="14.25" customHeight="1" x14ac:dyDescent="0.3">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2:27" ht="14.25" customHeight="1" x14ac:dyDescent="0.3">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2:27" ht="14.25" customHeight="1" x14ac:dyDescent="0.3">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2:27" ht="14.25" customHeight="1" x14ac:dyDescent="0.3">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2:27" ht="14.25" customHeight="1" x14ac:dyDescent="0.3">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2:27" ht="14.25" customHeight="1" x14ac:dyDescent="0.3">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2:27" ht="14.25" customHeight="1" x14ac:dyDescent="0.3">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2:27" ht="14.25" customHeight="1" x14ac:dyDescent="0.3">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2:27" ht="14.25" customHeight="1" x14ac:dyDescent="0.3">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2:27" ht="14.25" customHeight="1" x14ac:dyDescent="0.3">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2:27" ht="14.25" customHeight="1" x14ac:dyDescent="0.3">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2:27" ht="14.25" customHeight="1" x14ac:dyDescent="0.3">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2:27" ht="14.25" customHeight="1" x14ac:dyDescent="0.3">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2:27" ht="14.25" customHeight="1" x14ac:dyDescent="0.3">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2:27" ht="14.25" customHeight="1" x14ac:dyDescent="0.3">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2:27" ht="14.25" customHeight="1" x14ac:dyDescent="0.3">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2:27" ht="14.25" customHeight="1" x14ac:dyDescent="0.3">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2:27" ht="14.25" customHeight="1" x14ac:dyDescent="0.3">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2:27" ht="14.25" customHeight="1" x14ac:dyDescent="0.3">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2:27" ht="14.25" customHeight="1" x14ac:dyDescent="0.3">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2:27" ht="14.25" customHeight="1" x14ac:dyDescent="0.3">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2:27" ht="14.25" customHeight="1" x14ac:dyDescent="0.3">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2:27" ht="14.25" customHeight="1" x14ac:dyDescent="0.3">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2:27" ht="14.25" customHeight="1" x14ac:dyDescent="0.3">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2:27" ht="14.25" customHeight="1" x14ac:dyDescent="0.3">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2:27" ht="14.25" customHeight="1" x14ac:dyDescent="0.3">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2:27" ht="14.25" customHeight="1" x14ac:dyDescent="0.3">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2:27" ht="14.25" customHeight="1" x14ac:dyDescent="0.3">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2:27" ht="14.25" customHeight="1" x14ac:dyDescent="0.3">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2:27" ht="14.25" customHeight="1" x14ac:dyDescent="0.3">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2:27" ht="14.25" customHeight="1" x14ac:dyDescent="0.3">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2:27" ht="14.25" customHeight="1" x14ac:dyDescent="0.3">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2:27" ht="14.25" customHeight="1" x14ac:dyDescent="0.3">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2:27" ht="14.25" customHeight="1" x14ac:dyDescent="0.3">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2:27" ht="14.25" customHeight="1" x14ac:dyDescent="0.3">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2:27" ht="14.25" customHeight="1" x14ac:dyDescent="0.3">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2:27" ht="14.25" customHeight="1" x14ac:dyDescent="0.3">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2:27" ht="14.25" customHeight="1" x14ac:dyDescent="0.3">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2:27" ht="14.25" customHeight="1" x14ac:dyDescent="0.3">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2:27" ht="14.25" customHeight="1" x14ac:dyDescent="0.3">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2:27" ht="14.25" customHeight="1" x14ac:dyDescent="0.3">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2:27" ht="14.25" customHeight="1" x14ac:dyDescent="0.3">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2:27" ht="14.25" customHeight="1" x14ac:dyDescent="0.3">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2:27" ht="14.25" customHeight="1" x14ac:dyDescent="0.3">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2:27" ht="14.25" customHeight="1" x14ac:dyDescent="0.3">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2:27" ht="14.25" customHeight="1" x14ac:dyDescent="0.3">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2:27" ht="14.25" customHeight="1" x14ac:dyDescent="0.3">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2:27" ht="14.25" customHeight="1" x14ac:dyDescent="0.3">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2:27" ht="14.25" customHeight="1" x14ac:dyDescent="0.3">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2:27" ht="14.25" customHeight="1" x14ac:dyDescent="0.3">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2:27" ht="14.25" customHeight="1" x14ac:dyDescent="0.3">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2:27" ht="14.25" customHeight="1" x14ac:dyDescent="0.3">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2:27" ht="14.25" customHeight="1" x14ac:dyDescent="0.3">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2:27" ht="14.25" customHeight="1" x14ac:dyDescent="0.3">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2:27" ht="14.25" customHeight="1" x14ac:dyDescent="0.3">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2:27" ht="14.25" customHeight="1" x14ac:dyDescent="0.3">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2:27" ht="14.25" customHeight="1" x14ac:dyDescent="0.3">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2:27" ht="14.25" customHeight="1" x14ac:dyDescent="0.3">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2:27" ht="14.25" customHeight="1" x14ac:dyDescent="0.3">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2:27" ht="14.25" customHeight="1" x14ac:dyDescent="0.3">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2:27" ht="14.25" customHeight="1" x14ac:dyDescent="0.3">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2:27" ht="14.25" customHeight="1" x14ac:dyDescent="0.3">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2:27" ht="14.25" customHeight="1" x14ac:dyDescent="0.3">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2:27" ht="14.25" customHeight="1" x14ac:dyDescent="0.3">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2:27" ht="14.25" customHeight="1" x14ac:dyDescent="0.3">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2:27" ht="14.25" customHeight="1" x14ac:dyDescent="0.3">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2:27" ht="14.25" customHeight="1" x14ac:dyDescent="0.3">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2:27" ht="14.25" customHeight="1" x14ac:dyDescent="0.3">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2:27" ht="14.25" customHeight="1" x14ac:dyDescent="0.3">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2:27" ht="14.25" customHeight="1" x14ac:dyDescent="0.3">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2:27" ht="14.25" customHeight="1" x14ac:dyDescent="0.3">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2:27" ht="14.25" customHeight="1" x14ac:dyDescent="0.3">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2:27" ht="14.25" customHeight="1" x14ac:dyDescent="0.3">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2:27" ht="14.25" customHeight="1" x14ac:dyDescent="0.3">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2:27" ht="14.25" customHeight="1" x14ac:dyDescent="0.3">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2:27" ht="14.25" customHeight="1" x14ac:dyDescent="0.3">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2:27" ht="14.25" customHeight="1" x14ac:dyDescent="0.3">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2:27" ht="14.25" customHeight="1" x14ac:dyDescent="0.3">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2:27" ht="14.25" customHeight="1" x14ac:dyDescent="0.3">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2:27" ht="14.25" customHeight="1" x14ac:dyDescent="0.3">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2:27" ht="14.25" customHeight="1" x14ac:dyDescent="0.3">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2:27" ht="14.25" customHeight="1" x14ac:dyDescent="0.3">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2:27" ht="14.25" customHeight="1" x14ac:dyDescent="0.3">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2:27" ht="14.25" customHeight="1" x14ac:dyDescent="0.3">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2:27" ht="14.25" customHeight="1" x14ac:dyDescent="0.3">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2:27" ht="14.25" customHeight="1" x14ac:dyDescent="0.3">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2:27" ht="14.25" customHeight="1" x14ac:dyDescent="0.3">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2:27" ht="14.25" customHeight="1" x14ac:dyDescent="0.3">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2:27" ht="14.25" customHeight="1" x14ac:dyDescent="0.3">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2:27" ht="14.25" customHeight="1" x14ac:dyDescent="0.3">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2:27" ht="14.25" customHeight="1" x14ac:dyDescent="0.3">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2:27" ht="14.25" customHeight="1" x14ac:dyDescent="0.3">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2:27" ht="14.25" customHeight="1" x14ac:dyDescent="0.3">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2:27" ht="14.25" customHeight="1" x14ac:dyDescent="0.3">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2:27" ht="14.25" customHeight="1" x14ac:dyDescent="0.3">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2:27" ht="14.25" customHeight="1" x14ac:dyDescent="0.3">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2:27" ht="14.25" customHeight="1" x14ac:dyDescent="0.3">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2:27" ht="14.25" customHeight="1" x14ac:dyDescent="0.3">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2:27" ht="14.25" customHeight="1" x14ac:dyDescent="0.3">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2:27" ht="14.25" customHeight="1" x14ac:dyDescent="0.3">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2:27" ht="14.25" customHeight="1" x14ac:dyDescent="0.3">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2:27" ht="14.25" customHeight="1" x14ac:dyDescent="0.3">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2:27" ht="14.25" customHeight="1" x14ac:dyDescent="0.3">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2:27" ht="14.25" customHeight="1" x14ac:dyDescent="0.3">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2:27" ht="14.25" customHeight="1" x14ac:dyDescent="0.3">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2:27" ht="14.25" customHeight="1" x14ac:dyDescent="0.3">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2:27" ht="14.25" customHeight="1" x14ac:dyDescent="0.3">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2:27" ht="14.25" customHeight="1" x14ac:dyDescent="0.3">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2:27" ht="14.25" customHeight="1" x14ac:dyDescent="0.3">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2:27" ht="14.25" customHeight="1" x14ac:dyDescent="0.3">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2:27" ht="14.25" customHeight="1" x14ac:dyDescent="0.3">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2:27" ht="14.25" customHeight="1" x14ac:dyDescent="0.3">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2:27" ht="14.25" customHeight="1" x14ac:dyDescent="0.3">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2:27" ht="14.25" customHeight="1" x14ac:dyDescent="0.3">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2:27" ht="14.25" customHeight="1" x14ac:dyDescent="0.3">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2:27" ht="14.25" customHeight="1" x14ac:dyDescent="0.3">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2:27" ht="14.25" customHeight="1" x14ac:dyDescent="0.3">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2:27" ht="14.25" customHeight="1" x14ac:dyDescent="0.3">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2:27" ht="14.25" customHeight="1" x14ac:dyDescent="0.3">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2:27" ht="14.25" customHeight="1" x14ac:dyDescent="0.3">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2:27" ht="14.25" customHeight="1" x14ac:dyDescent="0.3">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2:27" ht="14.25" customHeight="1" x14ac:dyDescent="0.3">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2:27" ht="14.25" customHeight="1" x14ac:dyDescent="0.3">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2:27" ht="14.25" customHeight="1" x14ac:dyDescent="0.3">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2:27" ht="14.25" customHeight="1" x14ac:dyDescent="0.3">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2:27" ht="14.25" customHeight="1" x14ac:dyDescent="0.3">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2:27" ht="14.25" customHeight="1" x14ac:dyDescent="0.3">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2:27" ht="14.25" customHeight="1" x14ac:dyDescent="0.3">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2:27" ht="14.25" customHeight="1" x14ac:dyDescent="0.3">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2:27" ht="14.25" customHeight="1" x14ac:dyDescent="0.3">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2:27" ht="14.25" customHeight="1" x14ac:dyDescent="0.3">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2:27" ht="14.25" customHeight="1" x14ac:dyDescent="0.3">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2:27" ht="14.25" customHeight="1" x14ac:dyDescent="0.3">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2:27" ht="14.25" customHeight="1" x14ac:dyDescent="0.3">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2:27" ht="14.25" customHeight="1" x14ac:dyDescent="0.3">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2:27" ht="14.25" customHeight="1" x14ac:dyDescent="0.3">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2:27" ht="14.25" customHeight="1" x14ac:dyDescent="0.3">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2:27" ht="14.25" customHeight="1" x14ac:dyDescent="0.3">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2:27" ht="14.25" customHeight="1" x14ac:dyDescent="0.3">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2:27" ht="14.25" customHeight="1" x14ac:dyDescent="0.3">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2:27" ht="14.25" customHeight="1" x14ac:dyDescent="0.3">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2:27" ht="14.25" customHeight="1" x14ac:dyDescent="0.3">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2:27" ht="14.25" customHeight="1" x14ac:dyDescent="0.3">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2:27" ht="14.25" customHeight="1" x14ac:dyDescent="0.3">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2:27" ht="14.25" customHeight="1" x14ac:dyDescent="0.3">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2:27" ht="14.25" customHeight="1" x14ac:dyDescent="0.3">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2:27" ht="14.25" customHeight="1" x14ac:dyDescent="0.3">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2:27" ht="14.25" customHeight="1" x14ac:dyDescent="0.3">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2:27" ht="14.25" customHeight="1" x14ac:dyDescent="0.3">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2:27" ht="14.25" customHeight="1" x14ac:dyDescent="0.3">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2:27" ht="14.25" customHeight="1" x14ac:dyDescent="0.3">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2:27" ht="14.25" customHeight="1" x14ac:dyDescent="0.3">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2:27" ht="14.25" customHeight="1" x14ac:dyDescent="0.3">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2:27" ht="14.25" customHeight="1" x14ac:dyDescent="0.3">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2:27" ht="14.25" customHeight="1" x14ac:dyDescent="0.3">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2:27" ht="14.25" customHeight="1" x14ac:dyDescent="0.3">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2:27" ht="14.25" customHeight="1" x14ac:dyDescent="0.3">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2:27" ht="14.25" customHeight="1" x14ac:dyDescent="0.3">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2:27" ht="14.25" customHeight="1" x14ac:dyDescent="0.3">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2:27" ht="14.25" customHeight="1" x14ac:dyDescent="0.3">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2:27" ht="14.25" customHeight="1" x14ac:dyDescent="0.3">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2:27" ht="14.25" customHeight="1" x14ac:dyDescent="0.3">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2:27" ht="14.25" customHeight="1" x14ac:dyDescent="0.3">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2:27" ht="14.25" customHeight="1" x14ac:dyDescent="0.3">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2:27" ht="14.25" customHeight="1" x14ac:dyDescent="0.3">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2:27" ht="14.25" customHeight="1" x14ac:dyDescent="0.3">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2:27" ht="14.25" customHeight="1" x14ac:dyDescent="0.3">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2:27" ht="14.25" customHeight="1" x14ac:dyDescent="0.3">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2:27" ht="14.25" customHeight="1" x14ac:dyDescent="0.3">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2:27" ht="14.25" customHeight="1" x14ac:dyDescent="0.3">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2:27" ht="14.25" customHeight="1" x14ac:dyDescent="0.3">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2:27" ht="14.25" customHeight="1" x14ac:dyDescent="0.3">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2:27" ht="14.25" customHeight="1" x14ac:dyDescent="0.3">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2:27" ht="14.25" customHeight="1" x14ac:dyDescent="0.3">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2:27" ht="14.25" customHeight="1" x14ac:dyDescent="0.3">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2:27" ht="14.25" customHeight="1" x14ac:dyDescent="0.3">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2:27" ht="14.25" customHeight="1" x14ac:dyDescent="0.3">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2:27" ht="14.25" customHeight="1" x14ac:dyDescent="0.3">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2:27" ht="14.25" customHeight="1" x14ac:dyDescent="0.3">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2:27" ht="14.25" customHeight="1" x14ac:dyDescent="0.3">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2:27" ht="14.25" customHeight="1" x14ac:dyDescent="0.3">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2:27" ht="14.25" customHeight="1" x14ac:dyDescent="0.3">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2:27" ht="14.25" customHeight="1" x14ac:dyDescent="0.3">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2:27" ht="14.25" customHeight="1" x14ac:dyDescent="0.3">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2:27" ht="14.25" customHeight="1" x14ac:dyDescent="0.3">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2:27" ht="14.25" customHeight="1" x14ac:dyDescent="0.3">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2:27" ht="14.25" customHeight="1" x14ac:dyDescent="0.3">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2:27" ht="14.25" customHeight="1" x14ac:dyDescent="0.3">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2:27" ht="14.25" customHeight="1" x14ac:dyDescent="0.3">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2:27" ht="14.25" customHeight="1" x14ac:dyDescent="0.3">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2:27" ht="14.25" customHeight="1" x14ac:dyDescent="0.3">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2:27" ht="14.25" customHeight="1" x14ac:dyDescent="0.3">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2:27" ht="14.25" customHeight="1" x14ac:dyDescent="0.3">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2:27" ht="14.25" customHeight="1" x14ac:dyDescent="0.3">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2:27" ht="14.25" customHeight="1" x14ac:dyDescent="0.3">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2:27" ht="14.25" customHeight="1" x14ac:dyDescent="0.3">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2:27" ht="14.25" customHeight="1" x14ac:dyDescent="0.3">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2:27" ht="14.25" customHeight="1" x14ac:dyDescent="0.3">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2:27" ht="14.25" customHeight="1" x14ac:dyDescent="0.3">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2:27" ht="14.25" customHeight="1" x14ac:dyDescent="0.3">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2:27" ht="14.25" customHeight="1" x14ac:dyDescent="0.3">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2:27" ht="14.25" customHeight="1" x14ac:dyDescent="0.3">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2:27" ht="14.25" customHeight="1" x14ac:dyDescent="0.3">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2:27" ht="14.25" customHeight="1" x14ac:dyDescent="0.3">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2:27" ht="14.25" customHeight="1" x14ac:dyDescent="0.3">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2:27" ht="14.25" customHeight="1" x14ac:dyDescent="0.3">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2:27" ht="14.25" customHeight="1" x14ac:dyDescent="0.3">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2:27" ht="14.25" customHeight="1" x14ac:dyDescent="0.3">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2:27" ht="14.25" customHeight="1" x14ac:dyDescent="0.3">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2:27" ht="14.25" customHeight="1" x14ac:dyDescent="0.3">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2:27" ht="14.25" customHeight="1" x14ac:dyDescent="0.3">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2:27" ht="14.25" customHeight="1" x14ac:dyDescent="0.3">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2:27" ht="14.25" customHeight="1" x14ac:dyDescent="0.3">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2:27" ht="14.25" customHeight="1" x14ac:dyDescent="0.3">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2:27" ht="14.25" customHeight="1" x14ac:dyDescent="0.3">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2:27" ht="14.25" customHeight="1" x14ac:dyDescent="0.3">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2:27" ht="14.25" customHeight="1" x14ac:dyDescent="0.3">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2:27" ht="14.25" customHeight="1" x14ac:dyDescent="0.3">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2:27" ht="14.25" customHeight="1" x14ac:dyDescent="0.3">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2:27" ht="14.25" customHeight="1" x14ac:dyDescent="0.3">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2:27" ht="14.25" customHeight="1" x14ac:dyDescent="0.3">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2:27" ht="14.25" customHeight="1" x14ac:dyDescent="0.3">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2:27" ht="14.25" customHeight="1" x14ac:dyDescent="0.3">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2:27" ht="14.25" customHeight="1" x14ac:dyDescent="0.3">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2:27" ht="14.25" customHeight="1" x14ac:dyDescent="0.3">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2:27" ht="14.25" customHeight="1" x14ac:dyDescent="0.3">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2:27" ht="14.25" customHeight="1" x14ac:dyDescent="0.3">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2:27" ht="14.25" customHeight="1" x14ac:dyDescent="0.3">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2:27" ht="14.25" customHeight="1" x14ac:dyDescent="0.3">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2:27" ht="14.25" customHeight="1" x14ac:dyDescent="0.3">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2:27" ht="14.25" customHeight="1" x14ac:dyDescent="0.3">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2:27" ht="14.25" customHeight="1" x14ac:dyDescent="0.3">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2:27" ht="14.25" customHeight="1" x14ac:dyDescent="0.3">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2:27" ht="14.25" customHeight="1" x14ac:dyDescent="0.3">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2:27" ht="14.25" customHeight="1" x14ac:dyDescent="0.3">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2:27" ht="14.25" customHeight="1" x14ac:dyDescent="0.3">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2:27" ht="14.25" customHeight="1" x14ac:dyDescent="0.3">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2:27" ht="14.25" customHeight="1" x14ac:dyDescent="0.3">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2:27" ht="14.25" customHeight="1" x14ac:dyDescent="0.3">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2:27" ht="14.25" customHeight="1" x14ac:dyDescent="0.3">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2:27" ht="14.25" customHeight="1" x14ac:dyDescent="0.3">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2:27" ht="14.25" customHeight="1" x14ac:dyDescent="0.3">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2:27" ht="14.25" customHeight="1" x14ac:dyDescent="0.3">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2:27" ht="14.25" customHeight="1" x14ac:dyDescent="0.3">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2:27" ht="14.25" customHeight="1" x14ac:dyDescent="0.3">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2:27" ht="14.25" customHeight="1" x14ac:dyDescent="0.3">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2:27" ht="14.25" customHeight="1" x14ac:dyDescent="0.3">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2:27" ht="14.25" customHeight="1" x14ac:dyDescent="0.3">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2:27" ht="14.25" customHeight="1" x14ac:dyDescent="0.3">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2:27" ht="14.25" customHeight="1" x14ac:dyDescent="0.3">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2:27" ht="14.25" customHeight="1" x14ac:dyDescent="0.3">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2:27" ht="14.25" customHeight="1" x14ac:dyDescent="0.3">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2:27" ht="14.25" customHeight="1" x14ac:dyDescent="0.3">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2:27" ht="14.25" customHeight="1" x14ac:dyDescent="0.3">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2:27" ht="14.25" customHeight="1" x14ac:dyDescent="0.3">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2:27" ht="14.25" customHeight="1" x14ac:dyDescent="0.3">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2:27" ht="14.25" customHeight="1" x14ac:dyDescent="0.3">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2:27" ht="14.25" customHeight="1" x14ac:dyDescent="0.3">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2:27" ht="14.25" customHeight="1" x14ac:dyDescent="0.3">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2:27" ht="14.25" customHeight="1" x14ac:dyDescent="0.3">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2:27" ht="14.25" customHeight="1" x14ac:dyDescent="0.3">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2:27" ht="14.25" customHeight="1" x14ac:dyDescent="0.3">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2:27" ht="14.25" customHeight="1" x14ac:dyDescent="0.3">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2:27" ht="14.25" customHeight="1" x14ac:dyDescent="0.3">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2:27" ht="14.25" customHeight="1" x14ac:dyDescent="0.3">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2:27" ht="14.25" customHeight="1" x14ac:dyDescent="0.3">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2:27" ht="14.25" customHeight="1" x14ac:dyDescent="0.3">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2:27" ht="14.25" customHeight="1" x14ac:dyDescent="0.3">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2:27" ht="14.25" customHeight="1" x14ac:dyDescent="0.3">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2:27" ht="14.25" customHeight="1" x14ac:dyDescent="0.3">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2:27" ht="14.25" customHeight="1" x14ac:dyDescent="0.3">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2:27" ht="14.25" customHeight="1" x14ac:dyDescent="0.3">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2:27" ht="14.25" customHeight="1" x14ac:dyDescent="0.3">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2:27" ht="14.25" customHeight="1" x14ac:dyDescent="0.3">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2:27" ht="14.25" customHeight="1" x14ac:dyDescent="0.3">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2:27" ht="14.25" customHeight="1" x14ac:dyDescent="0.3">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2:27" ht="14.25" customHeight="1" x14ac:dyDescent="0.3">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2:27" ht="14.25" customHeight="1" x14ac:dyDescent="0.3">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2:27" ht="14.25" customHeight="1" x14ac:dyDescent="0.3">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2:27" ht="14.25" customHeight="1" x14ac:dyDescent="0.3">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2:27" ht="14.25" customHeight="1" x14ac:dyDescent="0.3">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2:27" ht="14.25" customHeight="1" x14ac:dyDescent="0.3">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2:27" ht="14.25" customHeight="1" x14ac:dyDescent="0.3">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2:27" ht="14.25" customHeight="1" x14ac:dyDescent="0.3">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2:27" ht="14.25" customHeight="1" x14ac:dyDescent="0.3">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2:27" ht="14.25" customHeight="1" x14ac:dyDescent="0.3">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2:27" ht="14.25" customHeight="1" x14ac:dyDescent="0.3">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2:27" ht="14.25" customHeight="1" x14ac:dyDescent="0.3">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2:27" ht="14.25" customHeight="1" x14ac:dyDescent="0.3">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2:27" ht="14.25" customHeight="1" x14ac:dyDescent="0.3">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2:27" ht="14.25" customHeight="1" x14ac:dyDescent="0.3">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2:27" ht="14.25" customHeight="1" x14ac:dyDescent="0.3">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2:27" ht="14.25" customHeight="1" x14ac:dyDescent="0.3">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2:27" ht="14.25" customHeight="1" x14ac:dyDescent="0.3">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2:27" ht="14.25" customHeight="1" x14ac:dyDescent="0.3">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2:27" ht="14.25" customHeight="1" x14ac:dyDescent="0.3">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2:27" ht="14.25" customHeight="1" x14ac:dyDescent="0.3">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2:27" ht="14.25" customHeight="1" x14ac:dyDescent="0.3">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2:27" ht="14.25" customHeight="1" x14ac:dyDescent="0.3">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2:27" ht="14.25" customHeight="1" x14ac:dyDescent="0.3">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2:27" ht="14.25" customHeight="1" x14ac:dyDescent="0.3">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2:27" ht="14.25" customHeight="1" x14ac:dyDescent="0.3">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2:27" ht="14.25" customHeight="1" x14ac:dyDescent="0.3">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2:27" ht="14.25" customHeight="1" x14ac:dyDescent="0.3">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2:27" ht="14.25" customHeight="1" x14ac:dyDescent="0.3">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2:27" ht="14.25" customHeight="1" x14ac:dyDescent="0.3">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2:27" ht="14.25" customHeight="1" x14ac:dyDescent="0.3">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2:27" ht="14.25" customHeight="1" x14ac:dyDescent="0.3">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2:27" ht="14.25" customHeight="1" x14ac:dyDescent="0.3">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2:27" ht="14.25" customHeight="1" x14ac:dyDescent="0.3">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2:27" ht="14.25" customHeight="1" x14ac:dyDescent="0.3">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2:27" ht="14.25" customHeight="1" x14ac:dyDescent="0.3">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2:27" ht="14.25" customHeight="1" x14ac:dyDescent="0.3">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2:27" ht="14.25" customHeight="1" x14ac:dyDescent="0.3">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2:27" ht="14.25" customHeight="1" x14ac:dyDescent="0.3">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2:27" ht="14.25" customHeight="1" x14ac:dyDescent="0.3">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2:27" ht="14.25" customHeight="1" x14ac:dyDescent="0.3">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2:27" ht="14.25" customHeight="1" x14ac:dyDescent="0.3">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2:27" ht="14.25" customHeight="1" x14ac:dyDescent="0.3">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2:27" ht="14.25" customHeight="1" x14ac:dyDescent="0.3">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2:27" ht="14.25" customHeight="1" x14ac:dyDescent="0.3">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2:27" ht="14.25" customHeight="1" x14ac:dyDescent="0.3">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2:27" ht="14.25" customHeight="1" x14ac:dyDescent="0.3">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2:27" ht="14.25" customHeight="1" x14ac:dyDescent="0.3">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2:27" ht="14.25" customHeight="1" x14ac:dyDescent="0.3">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2:27" ht="14.25" customHeight="1" x14ac:dyDescent="0.3">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2:27" ht="14.25" customHeight="1" x14ac:dyDescent="0.3">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2:27" ht="14.25" customHeight="1" x14ac:dyDescent="0.3">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2:27" ht="14.25" customHeight="1" x14ac:dyDescent="0.3">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2:27" ht="14.25" customHeight="1" x14ac:dyDescent="0.3">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2:27" ht="14.25" customHeight="1" x14ac:dyDescent="0.3">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2:27" ht="14.25" customHeight="1" x14ac:dyDescent="0.3">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2:27" ht="14.25" customHeight="1" x14ac:dyDescent="0.3">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2:27" ht="14.25" customHeight="1" x14ac:dyDescent="0.3">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2:27" ht="14.25" customHeight="1" x14ac:dyDescent="0.3">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2:27" ht="14.25" customHeight="1" x14ac:dyDescent="0.3">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2:27" ht="14.25" customHeight="1" x14ac:dyDescent="0.3">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2:27" ht="14.25" customHeight="1" x14ac:dyDescent="0.3">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2:27" ht="14.25" customHeight="1" x14ac:dyDescent="0.3">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2:27" ht="14.25" customHeight="1" x14ac:dyDescent="0.3">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2:27" ht="14.25" customHeight="1" x14ac:dyDescent="0.3">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2:27" ht="14.25" customHeight="1" x14ac:dyDescent="0.3">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2:27" ht="14.25" customHeight="1" x14ac:dyDescent="0.3">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2:27" ht="14.25" customHeight="1" x14ac:dyDescent="0.3">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2:27" ht="14.25" customHeight="1" x14ac:dyDescent="0.3">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2:27" ht="14.25" customHeight="1" x14ac:dyDescent="0.3">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2:27" ht="14.25" customHeight="1" x14ac:dyDescent="0.3">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2:27" ht="14.25" customHeight="1" x14ac:dyDescent="0.3">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2:27" ht="14.25" customHeight="1" x14ac:dyDescent="0.3">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2:27" ht="14.25" customHeight="1" x14ac:dyDescent="0.3">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2:27" ht="14.25" customHeight="1" x14ac:dyDescent="0.3">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2:27" ht="14.25" customHeight="1" x14ac:dyDescent="0.3">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2:27" ht="14.25" customHeight="1" x14ac:dyDescent="0.3">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2:27" ht="14.25" customHeight="1" x14ac:dyDescent="0.3">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2:27" ht="14.25" customHeight="1" x14ac:dyDescent="0.3">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2:27" ht="14.25" customHeight="1" x14ac:dyDescent="0.3">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2:27" ht="14.25" customHeight="1" x14ac:dyDescent="0.3">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2:27" ht="14.25" customHeight="1" x14ac:dyDescent="0.3">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2:27" ht="14.25" customHeight="1" x14ac:dyDescent="0.3">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2:27" ht="14.25" customHeight="1" x14ac:dyDescent="0.3">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2:27" ht="14.25" customHeight="1" x14ac:dyDescent="0.3">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2:27" ht="14.25" customHeight="1" x14ac:dyDescent="0.3">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2:27" ht="14.25" customHeight="1" x14ac:dyDescent="0.3">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2:27" ht="14.25" customHeight="1" x14ac:dyDescent="0.3">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2:27" ht="14.25" customHeight="1" x14ac:dyDescent="0.3">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2:27" ht="14.25" customHeight="1" x14ac:dyDescent="0.3">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2:27" ht="14.25" customHeight="1" x14ac:dyDescent="0.3">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2:27" ht="14.25" customHeight="1" x14ac:dyDescent="0.3">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2:27" ht="14.25" customHeight="1" x14ac:dyDescent="0.3">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2:27" ht="14.25" customHeight="1" x14ac:dyDescent="0.3">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2:27" ht="14.25" customHeight="1" x14ac:dyDescent="0.3">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2:27" ht="14.25" customHeight="1" x14ac:dyDescent="0.3">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2:27" ht="14.25" customHeight="1" x14ac:dyDescent="0.3">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2:27" ht="14.25" customHeight="1" x14ac:dyDescent="0.3">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2:27" ht="14.25" customHeight="1" x14ac:dyDescent="0.3">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2:27" ht="14.25" customHeight="1" x14ac:dyDescent="0.3">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2:27" ht="14.25" customHeight="1" x14ac:dyDescent="0.3">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sheetData>
  <autoFilter ref="B2:M59" xr:uid="{00000000-0009-0000-0000-000003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sortState xmlns:xlrd2="http://schemas.microsoft.com/office/spreadsheetml/2017/richdata2" ref="B2:O59">
    <sortCondition ref="B4"/>
  </sortState>
  <mergeCells count="2">
    <mergeCell ref="B2:M2"/>
    <mergeCell ref="B3:M3"/>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101"/>
  <sheetViews>
    <sheetView tabSelected="1" topLeftCell="A94" workbookViewId="0">
      <selection activeCell="D100" sqref="D100"/>
    </sheetView>
  </sheetViews>
  <sheetFormatPr defaultRowHeight="13.8" x14ac:dyDescent="0.25"/>
  <cols>
    <col min="1" max="1" width="5" customWidth="1"/>
    <col min="2" max="2" width="4.59765625" customWidth="1"/>
    <col min="3" max="3" width="8.3984375" customWidth="1"/>
    <col min="4" max="4" width="30.69921875" customWidth="1"/>
    <col min="5" max="5" width="27.69921875" customWidth="1"/>
    <col min="6" max="6" width="5.59765625" customWidth="1"/>
    <col min="7" max="7" width="2.09765625" customWidth="1"/>
    <col min="8" max="8" width="5.59765625" customWidth="1"/>
    <col min="9" max="9" width="6.59765625" customWidth="1"/>
    <col min="11" max="11" width="25.09765625" customWidth="1"/>
    <col min="12" max="12" width="24" customWidth="1"/>
    <col min="13" max="13" width="5.69921875" customWidth="1"/>
  </cols>
  <sheetData>
    <row r="2" spans="1:13" ht="21" x14ac:dyDescent="0.4">
      <c r="A2" s="387" t="s">
        <v>480</v>
      </c>
      <c r="B2" s="306"/>
      <c r="C2" s="306"/>
      <c r="D2" s="306"/>
      <c r="E2" s="306"/>
      <c r="F2" s="306"/>
      <c r="G2" s="306"/>
      <c r="H2" s="306"/>
      <c r="I2" s="306"/>
      <c r="J2" s="306"/>
      <c r="K2" s="306"/>
      <c r="L2" s="306"/>
    </row>
    <row r="3" spans="1:13" ht="21" x14ac:dyDescent="0.4">
      <c r="A3" s="387" t="s">
        <v>479</v>
      </c>
      <c r="B3" s="306"/>
      <c r="C3" s="306"/>
      <c r="D3" s="306"/>
      <c r="E3" s="306"/>
      <c r="F3" s="306"/>
      <c r="G3" s="306"/>
      <c r="H3" s="306"/>
      <c r="I3" s="306"/>
      <c r="J3" s="306"/>
      <c r="K3" s="306"/>
      <c r="L3" s="306"/>
    </row>
    <row r="4" spans="1:13" ht="21" x14ac:dyDescent="0.4">
      <c r="A4" s="388" t="s">
        <v>441</v>
      </c>
      <c r="B4" s="307"/>
      <c r="C4" s="307"/>
      <c r="D4" s="307"/>
      <c r="E4" s="307"/>
      <c r="F4" s="307"/>
      <c r="G4" s="307"/>
      <c r="H4" s="307"/>
      <c r="I4" s="307"/>
      <c r="J4" s="307"/>
      <c r="K4" s="307"/>
      <c r="L4" s="307"/>
    </row>
    <row r="5" spans="1:13" x14ac:dyDescent="0.25">
      <c r="A5" s="308"/>
      <c r="B5" s="308"/>
      <c r="C5" s="308"/>
      <c r="D5" s="308"/>
      <c r="E5" s="308"/>
      <c r="F5" s="308"/>
      <c r="G5" s="308"/>
      <c r="H5" s="308"/>
      <c r="I5" s="308"/>
      <c r="J5" s="308"/>
      <c r="K5" s="308"/>
      <c r="L5" s="308"/>
    </row>
    <row r="6" spans="1:13" ht="24" customHeight="1" x14ac:dyDescent="0.25">
      <c r="A6" s="373" t="s">
        <v>69</v>
      </c>
      <c r="B6" s="373" t="s">
        <v>1</v>
      </c>
      <c r="C6" s="374" t="s">
        <v>0</v>
      </c>
      <c r="D6" s="375" t="s">
        <v>364</v>
      </c>
      <c r="E6" s="376" t="s">
        <v>365</v>
      </c>
      <c r="F6" s="377" t="s">
        <v>1</v>
      </c>
      <c r="G6" s="308"/>
      <c r="H6" s="373" t="s">
        <v>69</v>
      </c>
      <c r="I6" s="373" t="s">
        <v>1</v>
      </c>
      <c r="J6" s="374" t="s">
        <v>0</v>
      </c>
      <c r="K6" s="375" t="s">
        <v>364</v>
      </c>
      <c r="L6" s="376" t="s">
        <v>365</v>
      </c>
      <c r="M6" s="377" t="s">
        <v>1</v>
      </c>
    </row>
    <row r="7" spans="1:13" ht="14.4" x14ac:dyDescent="0.3">
      <c r="A7" s="389" t="s">
        <v>2</v>
      </c>
      <c r="B7" s="389">
        <v>2</v>
      </c>
      <c r="C7" s="390" t="s">
        <v>286</v>
      </c>
      <c r="D7" s="391" t="s">
        <v>14</v>
      </c>
      <c r="E7" s="392" t="s">
        <v>370</v>
      </c>
      <c r="F7" s="393">
        <v>2</v>
      </c>
      <c r="G7" s="394"/>
      <c r="H7" s="389" t="s">
        <v>4</v>
      </c>
      <c r="I7" s="389">
        <v>2</v>
      </c>
      <c r="J7" s="395" t="s">
        <v>292</v>
      </c>
      <c r="K7" s="391" t="s">
        <v>27</v>
      </c>
      <c r="L7" s="392" t="s">
        <v>383</v>
      </c>
      <c r="M7" s="393">
        <v>2</v>
      </c>
    </row>
    <row r="8" spans="1:13" ht="14.4" x14ac:dyDescent="0.3">
      <c r="A8" s="389" t="s">
        <v>2</v>
      </c>
      <c r="B8" s="389">
        <v>2</v>
      </c>
      <c r="C8" s="390" t="s">
        <v>287</v>
      </c>
      <c r="D8" s="391" t="s">
        <v>11</v>
      </c>
      <c r="E8" s="392" t="s">
        <v>380</v>
      </c>
      <c r="F8" s="393">
        <v>2</v>
      </c>
      <c r="G8" s="394"/>
      <c r="H8" s="389" t="s">
        <v>4</v>
      </c>
      <c r="I8" s="389">
        <v>3</v>
      </c>
      <c r="J8" s="396" t="s">
        <v>293</v>
      </c>
      <c r="K8" s="397" t="s">
        <v>6</v>
      </c>
      <c r="L8" s="392" t="s">
        <v>371</v>
      </c>
      <c r="M8" s="393">
        <v>3</v>
      </c>
    </row>
    <row r="9" spans="1:13" ht="28.8" x14ac:dyDescent="0.25">
      <c r="A9" s="389" t="s">
        <v>2</v>
      </c>
      <c r="B9" s="389">
        <v>2</v>
      </c>
      <c r="C9" s="399" t="s">
        <v>281</v>
      </c>
      <c r="D9" s="400" t="s">
        <v>73</v>
      </c>
      <c r="E9" s="403" t="s">
        <v>369</v>
      </c>
      <c r="F9" s="393">
        <v>2</v>
      </c>
      <c r="G9" s="394"/>
      <c r="H9" s="389" t="s">
        <v>4</v>
      </c>
      <c r="I9" s="389">
        <v>3</v>
      </c>
      <c r="J9" s="398" t="s">
        <v>294</v>
      </c>
      <c r="K9" s="397" t="s">
        <v>19</v>
      </c>
      <c r="L9" s="403" t="s">
        <v>372</v>
      </c>
      <c r="M9" s="406">
        <v>3</v>
      </c>
    </row>
    <row r="10" spans="1:13" ht="28.8" x14ac:dyDescent="0.25">
      <c r="A10" s="389" t="s">
        <v>2</v>
      </c>
      <c r="B10" s="389">
        <v>3</v>
      </c>
      <c r="C10" s="399" t="s">
        <v>289</v>
      </c>
      <c r="D10" s="400" t="s">
        <v>23</v>
      </c>
      <c r="E10" s="392" t="s">
        <v>384</v>
      </c>
      <c r="F10" s="393">
        <v>3</v>
      </c>
      <c r="G10" s="394"/>
      <c r="H10" s="389" t="s">
        <v>4</v>
      </c>
      <c r="I10" s="389">
        <v>3</v>
      </c>
      <c r="J10" s="401" t="s">
        <v>295</v>
      </c>
      <c r="K10" s="402" t="s">
        <v>21</v>
      </c>
      <c r="L10" s="403" t="s">
        <v>373</v>
      </c>
      <c r="M10" s="404">
        <v>3</v>
      </c>
    </row>
    <row r="11" spans="1:13" ht="14.4" x14ac:dyDescent="0.3">
      <c r="A11" s="389" t="s">
        <v>2</v>
      </c>
      <c r="B11" s="389">
        <v>3</v>
      </c>
      <c r="C11" s="390" t="s">
        <v>290</v>
      </c>
      <c r="D11" s="391" t="s">
        <v>10</v>
      </c>
      <c r="E11" s="392" t="s">
        <v>367</v>
      </c>
      <c r="F11" s="393">
        <v>3</v>
      </c>
      <c r="G11" s="394"/>
      <c r="H11" s="389" t="s">
        <v>4</v>
      </c>
      <c r="I11" s="389">
        <v>3</v>
      </c>
      <c r="J11" s="398" t="s">
        <v>296</v>
      </c>
      <c r="K11" s="397" t="s">
        <v>298</v>
      </c>
      <c r="L11" s="392" t="s">
        <v>375</v>
      </c>
      <c r="M11" s="393">
        <v>3</v>
      </c>
    </row>
    <row r="12" spans="1:13" ht="14.4" x14ac:dyDescent="0.3">
      <c r="A12" s="389" t="s">
        <v>2</v>
      </c>
      <c r="B12" s="389">
        <v>3</v>
      </c>
      <c r="C12" s="399" t="s">
        <v>291</v>
      </c>
      <c r="D12" s="391" t="s">
        <v>15</v>
      </c>
      <c r="E12" s="392" t="s">
        <v>368</v>
      </c>
      <c r="F12" s="393">
        <v>3</v>
      </c>
      <c r="G12" s="394"/>
      <c r="H12" s="389" t="s">
        <v>4</v>
      </c>
      <c r="I12" s="389">
        <v>3</v>
      </c>
      <c r="J12" s="396" t="s">
        <v>297</v>
      </c>
      <c r="K12" s="397" t="s">
        <v>139</v>
      </c>
      <c r="L12" s="392" t="s">
        <v>374</v>
      </c>
      <c r="M12" s="405">
        <v>3</v>
      </c>
    </row>
    <row r="13" spans="1:13" ht="14.4" x14ac:dyDescent="0.25">
      <c r="A13" s="389" t="s">
        <v>2</v>
      </c>
      <c r="B13" s="389">
        <v>4</v>
      </c>
      <c r="C13" s="399" t="s">
        <v>288</v>
      </c>
      <c r="D13" s="391" t="s">
        <v>216</v>
      </c>
      <c r="E13" s="392" t="s">
        <v>366</v>
      </c>
      <c r="F13" s="393">
        <v>4</v>
      </c>
      <c r="G13" s="394"/>
      <c r="H13" s="389" t="s">
        <v>4</v>
      </c>
      <c r="I13" s="389">
        <v>3</v>
      </c>
      <c r="J13" s="398" t="s">
        <v>465</v>
      </c>
      <c r="K13" s="397" t="s">
        <v>33</v>
      </c>
      <c r="L13" s="392" t="s">
        <v>382</v>
      </c>
      <c r="M13" s="393">
        <v>3</v>
      </c>
    </row>
    <row r="14" spans="1:13" ht="14.4" x14ac:dyDescent="0.3">
      <c r="A14" s="309"/>
      <c r="B14" s="356"/>
      <c r="C14" s="367" t="s">
        <v>149</v>
      </c>
      <c r="D14" s="362"/>
      <c r="E14" s="354"/>
      <c r="F14" s="313">
        <f>SUM(F7:F13)</f>
        <v>19</v>
      </c>
      <c r="G14" s="308"/>
      <c r="H14" s="356"/>
      <c r="I14" s="363"/>
      <c r="J14" s="368" t="s">
        <v>149</v>
      </c>
      <c r="K14" s="354"/>
      <c r="L14" s="354"/>
      <c r="M14" s="313">
        <f>SUM(M7:M13)</f>
        <v>20</v>
      </c>
    </row>
    <row r="15" spans="1:13" ht="14.4" x14ac:dyDescent="0.3">
      <c r="A15" s="309"/>
      <c r="B15" s="356"/>
      <c r="C15" s="361"/>
      <c r="D15" s="362"/>
      <c r="E15" s="354"/>
      <c r="F15" s="355"/>
      <c r="G15" s="308"/>
      <c r="H15" s="308"/>
      <c r="I15" s="308"/>
      <c r="J15" s="308"/>
      <c r="K15" s="308"/>
      <c r="L15" s="308"/>
    </row>
    <row r="16" spans="1:13" ht="14.4" x14ac:dyDescent="0.3">
      <c r="A16" s="309" t="s">
        <v>24</v>
      </c>
      <c r="B16" s="309">
        <v>2</v>
      </c>
      <c r="C16" s="314" t="s">
        <v>466</v>
      </c>
      <c r="D16" s="322" t="s">
        <v>376</v>
      </c>
      <c r="E16" s="323" t="s">
        <v>218</v>
      </c>
      <c r="F16" s="313">
        <v>2</v>
      </c>
      <c r="G16" s="308"/>
      <c r="H16" s="309" t="s">
        <v>26</v>
      </c>
      <c r="I16" s="309">
        <v>2</v>
      </c>
      <c r="J16" s="407" t="s">
        <v>306</v>
      </c>
      <c r="K16" s="408" t="s">
        <v>29</v>
      </c>
      <c r="L16" s="312" t="s">
        <v>391</v>
      </c>
      <c r="M16" s="366">
        <v>2</v>
      </c>
    </row>
    <row r="17" spans="1:13" ht="14.4" x14ac:dyDescent="0.3">
      <c r="A17" s="309" t="s">
        <v>24</v>
      </c>
      <c r="B17" s="309">
        <v>2</v>
      </c>
      <c r="C17" s="310" t="s">
        <v>299</v>
      </c>
      <c r="D17" s="311" t="s">
        <v>25</v>
      </c>
      <c r="E17" s="312" t="s">
        <v>25</v>
      </c>
      <c r="F17" s="313">
        <v>2</v>
      </c>
      <c r="G17" s="308"/>
      <c r="H17" s="309" t="s">
        <v>26</v>
      </c>
      <c r="I17" s="309">
        <v>2</v>
      </c>
      <c r="J17" s="315" t="s">
        <v>307</v>
      </c>
      <c r="K17" s="311" t="s">
        <v>44</v>
      </c>
      <c r="L17" s="312" t="s">
        <v>387</v>
      </c>
      <c r="M17" s="313">
        <v>2</v>
      </c>
    </row>
    <row r="18" spans="1:13" ht="14.4" x14ac:dyDescent="0.3">
      <c r="A18" s="309" t="s">
        <v>24</v>
      </c>
      <c r="B18" s="309">
        <v>2</v>
      </c>
      <c r="C18" s="324" t="s">
        <v>300</v>
      </c>
      <c r="D18" s="318" t="s">
        <v>28</v>
      </c>
      <c r="E18" s="312" t="s">
        <v>379</v>
      </c>
      <c r="F18" s="313">
        <v>2</v>
      </c>
      <c r="G18" s="308"/>
      <c r="H18" s="309" t="s">
        <v>26</v>
      </c>
      <c r="I18" s="309">
        <v>3</v>
      </c>
      <c r="J18" s="328" t="s">
        <v>308</v>
      </c>
      <c r="K18" s="320" t="s">
        <v>38</v>
      </c>
      <c r="L18" s="312" t="s">
        <v>388</v>
      </c>
      <c r="M18" s="321">
        <v>3</v>
      </c>
    </row>
    <row r="19" spans="1:13" ht="14.4" x14ac:dyDescent="0.3">
      <c r="A19" s="309" t="s">
        <v>24</v>
      </c>
      <c r="B19" s="309">
        <v>2</v>
      </c>
      <c r="C19" s="317" t="s">
        <v>304</v>
      </c>
      <c r="D19" s="325" t="s">
        <v>217</v>
      </c>
      <c r="E19" s="326" t="s">
        <v>378</v>
      </c>
      <c r="F19" s="324">
        <v>2</v>
      </c>
      <c r="G19" s="308"/>
      <c r="H19" s="309" t="s">
        <v>26</v>
      </c>
      <c r="I19" s="309">
        <v>3</v>
      </c>
      <c r="J19" s="317" t="s">
        <v>309</v>
      </c>
      <c r="K19" s="318" t="s">
        <v>54</v>
      </c>
      <c r="L19" s="312" t="s">
        <v>389</v>
      </c>
      <c r="M19" s="313">
        <v>3</v>
      </c>
    </row>
    <row r="20" spans="1:13" s="415" customFormat="1" ht="27.6" x14ac:dyDescent="0.25">
      <c r="A20" s="309" t="s">
        <v>24</v>
      </c>
      <c r="B20" s="309">
        <v>3</v>
      </c>
      <c r="C20" s="315" t="s">
        <v>301</v>
      </c>
      <c r="D20" s="409" t="s">
        <v>377</v>
      </c>
      <c r="E20" s="410" t="s">
        <v>215</v>
      </c>
      <c r="F20" s="411">
        <v>3</v>
      </c>
      <c r="G20" s="412"/>
      <c r="H20" s="309" t="s">
        <v>26</v>
      </c>
      <c r="I20" s="309">
        <v>3</v>
      </c>
      <c r="J20" s="319" t="s">
        <v>310</v>
      </c>
      <c r="K20" s="413" t="s">
        <v>154</v>
      </c>
      <c r="L20" s="414" t="s">
        <v>458</v>
      </c>
      <c r="M20" s="411">
        <v>3</v>
      </c>
    </row>
    <row r="21" spans="1:13" x14ac:dyDescent="0.25">
      <c r="A21" s="309" t="s">
        <v>24</v>
      </c>
      <c r="B21" s="309">
        <v>3</v>
      </c>
      <c r="C21" s="319" t="s">
        <v>302</v>
      </c>
      <c r="D21" s="318" t="s">
        <v>42</v>
      </c>
      <c r="E21" s="312" t="s">
        <v>381</v>
      </c>
      <c r="F21" s="313">
        <v>3</v>
      </c>
      <c r="G21" s="308"/>
      <c r="H21" s="309" t="s">
        <v>26</v>
      </c>
      <c r="I21" s="309">
        <v>3</v>
      </c>
      <c r="J21" s="319" t="s">
        <v>311</v>
      </c>
      <c r="K21" s="318" t="s">
        <v>34</v>
      </c>
      <c r="L21" s="312" t="s">
        <v>390</v>
      </c>
      <c r="M21" s="313">
        <v>3</v>
      </c>
    </row>
    <row r="22" spans="1:13" ht="14.4" x14ac:dyDescent="0.3">
      <c r="A22" s="309" t="s">
        <v>24</v>
      </c>
      <c r="B22" s="309">
        <v>3</v>
      </c>
      <c r="C22" s="317" t="s">
        <v>303</v>
      </c>
      <c r="D22" s="318" t="s">
        <v>40</v>
      </c>
      <c r="E22" s="312" t="s">
        <v>457</v>
      </c>
      <c r="F22" s="313">
        <v>3</v>
      </c>
      <c r="G22" s="308"/>
      <c r="H22" s="309" t="s">
        <v>26</v>
      </c>
      <c r="I22" s="309">
        <v>3</v>
      </c>
      <c r="J22" s="317" t="s">
        <v>312</v>
      </c>
      <c r="K22" s="318" t="s">
        <v>261</v>
      </c>
      <c r="L22" s="312" t="s">
        <v>385</v>
      </c>
      <c r="M22" s="313">
        <v>3</v>
      </c>
    </row>
    <row r="23" spans="1:13" ht="15.6" x14ac:dyDescent="0.3">
      <c r="A23" s="309" t="s">
        <v>24</v>
      </c>
      <c r="B23" s="309">
        <v>3</v>
      </c>
      <c r="C23" s="314" t="s">
        <v>305</v>
      </c>
      <c r="D23" s="311" t="s">
        <v>31</v>
      </c>
      <c r="E23" s="312" t="s">
        <v>386</v>
      </c>
      <c r="F23" s="313">
        <v>3</v>
      </c>
      <c r="G23" s="308"/>
      <c r="H23" s="351"/>
      <c r="I23" s="352"/>
      <c r="J23" s="369" t="s">
        <v>149</v>
      </c>
      <c r="K23" s="352"/>
      <c r="L23" s="352"/>
      <c r="M23" s="384">
        <f>SUM(M16:M22)</f>
        <v>19</v>
      </c>
    </row>
    <row r="24" spans="1:13" ht="15.6" x14ac:dyDescent="0.3">
      <c r="A24" s="309"/>
      <c r="B24" s="356"/>
      <c r="C24" s="370" t="s">
        <v>149</v>
      </c>
      <c r="D24" s="360"/>
      <c r="E24" s="357"/>
      <c r="F24" s="386">
        <f>SUM(F16:F23)</f>
        <v>20</v>
      </c>
      <c r="G24" s="308"/>
      <c r="H24" s="308"/>
      <c r="I24" s="308"/>
      <c r="J24" s="308"/>
      <c r="K24" s="308"/>
      <c r="L24" s="308"/>
    </row>
    <row r="25" spans="1:13" ht="14.4" x14ac:dyDescent="0.3">
      <c r="A25" s="309"/>
      <c r="B25" s="356"/>
      <c r="C25" s="358"/>
      <c r="D25" s="359"/>
      <c r="E25" s="354"/>
      <c r="F25" s="355"/>
      <c r="G25" s="308"/>
      <c r="H25" s="308"/>
      <c r="I25" s="308"/>
      <c r="J25" s="308"/>
      <c r="K25" s="308"/>
      <c r="L25" s="308"/>
    </row>
    <row r="26" spans="1:13" ht="27.6" x14ac:dyDescent="0.25">
      <c r="A26" s="309" t="s">
        <v>48</v>
      </c>
      <c r="B26" s="309">
        <v>2</v>
      </c>
      <c r="C26" s="319" t="s">
        <v>314</v>
      </c>
      <c r="D26" s="329" t="s">
        <v>61</v>
      </c>
      <c r="E26" s="323" t="s">
        <v>395</v>
      </c>
      <c r="F26" s="313">
        <v>2</v>
      </c>
      <c r="G26" s="308"/>
      <c r="H26" s="309" t="s">
        <v>45</v>
      </c>
      <c r="I26" s="309">
        <v>2</v>
      </c>
      <c r="J26" s="319" t="s">
        <v>330</v>
      </c>
      <c r="K26" s="334" t="s">
        <v>150</v>
      </c>
      <c r="L26" s="335" t="s">
        <v>402</v>
      </c>
      <c r="M26" s="319">
        <v>2</v>
      </c>
    </row>
    <row r="27" spans="1:13" ht="14.4" x14ac:dyDescent="0.3">
      <c r="A27" s="309" t="s">
        <v>48</v>
      </c>
      <c r="B27" s="309">
        <v>3</v>
      </c>
      <c r="C27" s="330" t="s">
        <v>318</v>
      </c>
      <c r="D27" s="318" t="s">
        <v>46</v>
      </c>
      <c r="E27" s="312" t="s">
        <v>398</v>
      </c>
      <c r="F27" s="327">
        <v>3</v>
      </c>
      <c r="G27" s="308"/>
      <c r="H27" s="309" t="s">
        <v>45</v>
      </c>
      <c r="I27" s="309">
        <v>2</v>
      </c>
      <c r="J27" s="328" t="s">
        <v>332</v>
      </c>
      <c r="K27" s="336" t="s">
        <v>144</v>
      </c>
      <c r="L27" s="364" t="s">
        <v>403</v>
      </c>
      <c r="M27" s="337">
        <v>2</v>
      </c>
    </row>
    <row r="28" spans="1:13" ht="14.4" x14ac:dyDescent="0.3">
      <c r="A28" s="309" t="s">
        <v>48</v>
      </c>
      <c r="B28" s="309">
        <v>3</v>
      </c>
      <c r="C28" s="331" t="s">
        <v>313</v>
      </c>
      <c r="D28" s="332" t="s">
        <v>59</v>
      </c>
      <c r="E28" s="333" t="s">
        <v>393</v>
      </c>
      <c r="F28" s="321">
        <v>3</v>
      </c>
      <c r="G28" s="308"/>
      <c r="H28" s="309" t="s">
        <v>45</v>
      </c>
      <c r="I28" s="309">
        <v>2</v>
      </c>
      <c r="J28" s="316" t="s">
        <v>319</v>
      </c>
      <c r="K28" s="325" t="s">
        <v>460</v>
      </c>
      <c r="L28" s="365" t="s">
        <v>430</v>
      </c>
      <c r="M28" s="313">
        <v>2</v>
      </c>
    </row>
    <row r="29" spans="1:13" ht="14.4" x14ac:dyDescent="0.3">
      <c r="A29" s="309" t="s">
        <v>48</v>
      </c>
      <c r="B29" s="309">
        <v>2</v>
      </c>
      <c r="C29" s="319" t="s">
        <v>464</v>
      </c>
      <c r="D29" s="329" t="s">
        <v>392</v>
      </c>
      <c r="E29" s="323" t="s">
        <v>146</v>
      </c>
      <c r="F29" s="313">
        <v>2</v>
      </c>
      <c r="G29" s="308"/>
      <c r="H29" s="309" t="s">
        <v>45</v>
      </c>
      <c r="I29" s="309">
        <v>2</v>
      </c>
      <c r="J29" s="338" t="s">
        <v>319</v>
      </c>
      <c r="K29" s="325" t="s">
        <v>461</v>
      </c>
      <c r="L29" s="326" t="s">
        <v>431</v>
      </c>
      <c r="M29" s="313">
        <v>2</v>
      </c>
    </row>
    <row r="30" spans="1:13" x14ac:dyDescent="0.25">
      <c r="A30" s="309" t="s">
        <v>48</v>
      </c>
      <c r="B30" s="309">
        <v>3</v>
      </c>
      <c r="C30" s="319" t="s">
        <v>316</v>
      </c>
      <c r="D30" s="329" t="s">
        <v>58</v>
      </c>
      <c r="E30" s="329" t="s">
        <v>394</v>
      </c>
      <c r="F30" s="366">
        <v>3</v>
      </c>
      <c r="G30" s="308"/>
      <c r="H30" s="309" t="s">
        <v>45</v>
      </c>
      <c r="I30" s="309">
        <v>3</v>
      </c>
      <c r="J30" s="319" t="s">
        <v>320</v>
      </c>
      <c r="K30" s="329" t="s">
        <v>52</v>
      </c>
      <c r="L30" s="323" t="s">
        <v>459</v>
      </c>
      <c r="M30" s="313">
        <v>3</v>
      </c>
    </row>
    <row r="31" spans="1:13" x14ac:dyDescent="0.25">
      <c r="A31" s="309" t="s">
        <v>48</v>
      </c>
      <c r="B31" s="309">
        <v>3</v>
      </c>
      <c r="C31" s="319" t="s">
        <v>317</v>
      </c>
      <c r="D31" s="334" t="s">
        <v>396</v>
      </c>
      <c r="E31" s="335" t="s">
        <v>49</v>
      </c>
      <c r="F31" s="313">
        <v>3</v>
      </c>
      <c r="G31" s="308"/>
      <c r="H31" s="309" t="s">
        <v>45</v>
      </c>
      <c r="I31" s="309">
        <v>3</v>
      </c>
      <c r="J31" s="319" t="s">
        <v>321</v>
      </c>
      <c r="K31" s="329" t="s">
        <v>60</v>
      </c>
      <c r="L31" s="323" t="s">
        <v>401</v>
      </c>
      <c r="M31" s="313">
        <v>3</v>
      </c>
    </row>
    <row r="32" spans="1:13" ht="14.4" x14ac:dyDescent="0.3">
      <c r="A32" s="309" t="s">
        <v>48</v>
      </c>
      <c r="B32" s="309">
        <v>3</v>
      </c>
      <c r="C32" s="317" t="s">
        <v>315</v>
      </c>
      <c r="D32" s="318" t="s">
        <v>35</v>
      </c>
      <c r="E32" s="312" t="s">
        <v>397</v>
      </c>
      <c r="F32" s="313">
        <v>3</v>
      </c>
      <c r="G32" s="308"/>
      <c r="H32" s="309" t="s">
        <v>45</v>
      </c>
      <c r="I32" s="309">
        <v>3</v>
      </c>
      <c r="J32" s="317" t="s">
        <v>331</v>
      </c>
      <c r="K32" s="329" t="s">
        <v>400</v>
      </c>
      <c r="L32" s="323" t="s">
        <v>153</v>
      </c>
      <c r="M32" s="313">
        <v>3</v>
      </c>
    </row>
    <row r="33" spans="1:13" ht="15.6" x14ac:dyDescent="0.3">
      <c r="A33" s="309"/>
      <c r="B33" s="309"/>
      <c r="C33" s="371" t="s">
        <v>149</v>
      </c>
      <c r="D33" s="318"/>
      <c r="E33" s="312"/>
      <c r="F33" s="385">
        <f>SUM(F26:F32)</f>
        <v>19</v>
      </c>
      <c r="G33" s="308"/>
      <c r="H33" s="309" t="s">
        <v>45</v>
      </c>
      <c r="I33" s="309">
        <v>3</v>
      </c>
      <c r="J33" s="319" t="s">
        <v>329</v>
      </c>
      <c r="K33" s="318" t="s">
        <v>399</v>
      </c>
      <c r="L33" s="312" t="s">
        <v>158</v>
      </c>
      <c r="M33" s="313">
        <v>3</v>
      </c>
    </row>
    <row r="34" spans="1:13" ht="15.6" x14ac:dyDescent="0.3">
      <c r="B34" s="381"/>
      <c r="C34" s="382"/>
      <c r="D34" s="381"/>
      <c r="E34" s="381"/>
      <c r="F34" s="383"/>
      <c r="G34" s="308"/>
      <c r="H34" s="351"/>
      <c r="I34" s="352"/>
      <c r="J34" s="372" t="s">
        <v>149</v>
      </c>
      <c r="K34" s="352"/>
      <c r="L34" s="352"/>
      <c r="M34" s="353">
        <f>SUM(M26:M33)</f>
        <v>20</v>
      </c>
    </row>
    <row r="35" spans="1:13" x14ac:dyDescent="0.25">
      <c r="G35" s="308"/>
      <c r="H35" s="308"/>
      <c r="I35" s="308"/>
      <c r="J35" s="308"/>
      <c r="K35" s="308"/>
      <c r="L35" s="308"/>
    </row>
    <row r="36" spans="1:13" ht="14.4" x14ac:dyDescent="0.3">
      <c r="A36" s="309" t="s">
        <v>66</v>
      </c>
      <c r="B36" s="309">
        <v>2</v>
      </c>
      <c r="C36" s="324" t="s">
        <v>322</v>
      </c>
      <c r="D36" s="325" t="s">
        <v>462</v>
      </c>
      <c r="E36" s="326" t="s">
        <v>432</v>
      </c>
      <c r="F36" s="313">
        <v>2</v>
      </c>
      <c r="G36" s="308"/>
      <c r="H36" s="309" t="s">
        <v>64</v>
      </c>
      <c r="I36" s="309">
        <v>2</v>
      </c>
      <c r="J36" s="338" t="s">
        <v>473</v>
      </c>
      <c r="K36" s="346" t="s">
        <v>471</v>
      </c>
      <c r="L36" s="341" t="s">
        <v>472</v>
      </c>
      <c r="M36" s="313">
        <v>2</v>
      </c>
    </row>
    <row r="37" spans="1:13" ht="14.4" x14ac:dyDescent="0.3">
      <c r="A37" s="309" t="s">
        <v>66</v>
      </c>
      <c r="B37" s="309">
        <v>2</v>
      </c>
      <c r="C37" s="310" t="s">
        <v>322</v>
      </c>
      <c r="D37" s="325" t="s">
        <v>463</v>
      </c>
      <c r="E37" s="326" t="s">
        <v>433</v>
      </c>
      <c r="F37" s="313">
        <v>2</v>
      </c>
      <c r="G37" s="308"/>
      <c r="H37" s="309" t="s">
        <v>64</v>
      </c>
      <c r="I37" s="309">
        <v>6</v>
      </c>
      <c r="J37" s="338" t="s">
        <v>328</v>
      </c>
      <c r="K37" s="347" t="s">
        <v>155</v>
      </c>
      <c r="L37" s="347" t="s">
        <v>410</v>
      </c>
      <c r="M37" s="348">
        <v>6</v>
      </c>
    </row>
    <row r="38" spans="1:13" ht="15.6" x14ac:dyDescent="0.3">
      <c r="A38" s="309" t="s">
        <v>66</v>
      </c>
      <c r="B38" s="309">
        <v>2</v>
      </c>
      <c r="C38" s="339" t="s">
        <v>324</v>
      </c>
      <c r="D38" s="340" t="s">
        <v>219</v>
      </c>
      <c r="E38" s="341" t="s">
        <v>409</v>
      </c>
      <c r="F38" s="342">
        <v>2</v>
      </c>
      <c r="G38" s="308"/>
      <c r="H38" s="351"/>
      <c r="I38" s="352"/>
      <c r="J38" s="372" t="s">
        <v>149</v>
      </c>
      <c r="K38" s="352"/>
      <c r="L38" s="352"/>
      <c r="M38" s="384">
        <f>SUM(M36:M37)</f>
        <v>8</v>
      </c>
    </row>
    <row r="39" spans="1:13" x14ac:dyDescent="0.25">
      <c r="A39" s="309" t="s">
        <v>66</v>
      </c>
      <c r="B39" s="309">
        <v>3</v>
      </c>
      <c r="C39" s="319" t="s">
        <v>474</v>
      </c>
      <c r="D39" s="343" t="s">
        <v>13</v>
      </c>
      <c r="E39" s="344" t="s">
        <v>405</v>
      </c>
      <c r="F39" s="345">
        <v>3</v>
      </c>
      <c r="G39" s="308"/>
      <c r="H39" s="308"/>
      <c r="I39" s="308"/>
      <c r="J39" s="308"/>
      <c r="K39" s="308"/>
      <c r="L39" s="308"/>
    </row>
    <row r="40" spans="1:13" x14ac:dyDescent="0.25">
      <c r="A40" s="309" t="s">
        <v>66</v>
      </c>
      <c r="B40" s="309">
        <v>2</v>
      </c>
      <c r="C40" s="319" t="s">
        <v>325</v>
      </c>
      <c r="D40" s="329" t="s">
        <v>152</v>
      </c>
      <c r="E40" s="323" t="s">
        <v>406</v>
      </c>
      <c r="F40" s="313">
        <v>2</v>
      </c>
      <c r="G40" s="308"/>
      <c r="H40" s="308"/>
      <c r="I40" s="308"/>
      <c r="J40" s="308"/>
      <c r="K40" s="308"/>
      <c r="L40" s="308"/>
    </row>
    <row r="41" spans="1:13" ht="14.4" x14ac:dyDescent="0.3">
      <c r="A41" s="309" t="s">
        <v>66</v>
      </c>
      <c r="B41" s="309">
        <v>2</v>
      </c>
      <c r="C41" s="317" t="s">
        <v>326</v>
      </c>
      <c r="D41" s="329" t="s">
        <v>68</v>
      </c>
      <c r="E41" s="323" t="s">
        <v>407</v>
      </c>
      <c r="F41" s="313">
        <v>2</v>
      </c>
      <c r="G41" s="308"/>
      <c r="H41" s="308"/>
      <c r="I41" s="308"/>
      <c r="J41" s="308"/>
      <c r="K41" s="308"/>
      <c r="L41" s="308"/>
    </row>
    <row r="42" spans="1:13" ht="14.4" x14ac:dyDescent="0.3">
      <c r="A42" s="309" t="s">
        <v>66</v>
      </c>
      <c r="B42" s="309">
        <v>3</v>
      </c>
      <c r="C42" s="317" t="s">
        <v>323</v>
      </c>
      <c r="D42" s="329" t="s">
        <v>408</v>
      </c>
      <c r="E42" s="323" t="s">
        <v>74</v>
      </c>
      <c r="F42" s="313">
        <v>3</v>
      </c>
      <c r="G42" s="308"/>
      <c r="H42" s="308"/>
      <c r="I42" s="308"/>
      <c r="J42" s="308"/>
      <c r="K42" s="308"/>
      <c r="L42" s="308"/>
    </row>
    <row r="43" spans="1:13" ht="14.4" x14ac:dyDescent="0.3">
      <c r="A43" s="309" t="s">
        <v>66</v>
      </c>
      <c r="B43" s="309">
        <v>3</v>
      </c>
      <c r="C43" s="317" t="s">
        <v>327</v>
      </c>
      <c r="D43" s="329" t="s">
        <v>56</v>
      </c>
      <c r="E43" s="323" t="s">
        <v>404</v>
      </c>
      <c r="F43" s="313">
        <v>3</v>
      </c>
      <c r="G43" s="308"/>
      <c r="H43" s="308"/>
      <c r="I43" s="308"/>
      <c r="J43" s="308"/>
      <c r="K43" s="308"/>
      <c r="L43" s="308"/>
    </row>
    <row r="44" spans="1:13" ht="15.6" x14ac:dyDescent="0.3">
      <c r="B44" s="349"/>
      <c r="C44" s="371" t="s">
        <v>149</v>
      </c>
      <c r="D44" s="350"/>
      <c r="E44" s="350"/>
      <c r="F44" s="384">
        <f>SUM(F36:F43)</f>
        <v>19</v>
      </c>
      <c r="G44" s="308"/>
      <c r="H44" s="308"/>
      <c r="I44" s="308"/>
      <c r="J44" s="308"/>
      <c r="K44" s="308"/>
      <c r="L44" s="308"/>
    </row>
    <row r="45" spans="1:13" x14ac:dyDescent="0.25">
      <c r="G45" s="308"/>
      <c r="H45" s="308"/>
      <c r="I45" s="308"/>
      <c r="J45" s="308"/>
      <c r="K45" s="308"/>
      <c r="L45" s="308"/>
    </row>
    <row r="46" spans="1:13" x14ac:dyDescent="0.25">
      <c r="A46" s="308"/>
      <c r="B46" s="308"/>
      <c r="C46" s="308"/>
      <c r="D46" s="308"/>
      <c r="E46" s="308"/>
      <c r="F46" s="308"/>
      <c r="G46" s="308"/>
      <c r="H46" s="308"/>
      <c r="I46" s="308"/>
      <c r="J46" s="308"/>
      <c r="K46" s="308"/>
      <c r="L46" s="308"/>
    </row>
    <row r="47" spans="1:13" x14ac:dyDescent="0.25">
      <c r="A47" s="308"/>
      <c r="B47" s="308"/>
      <c r="C47" s="308"/>
      <c r="D47" s="308"/>
      <c r="E47" s="308"/>
      <c r="F47" s="308"/>
      <c r="G47" s="308"/>
      <c r="H47" s="308"/>
      <c r="I47" s="308"/>
      <c r="J47" s="308"/>
      <c r="K47" s="308"/>
      <c r="L47" s="308"/>
    </row>
    <row r="48" spans="1:13" ht="14.4" x14ac:dyDescent="0.3">
      <c r="A48" s="218"/>
      <c r="B48" s="294">
        <v>3</v>
      </c>
      <c r="C48" s="86" t="s">
        <v>435</v>
      </c>
      <c r="D48" s="86" t="s">
        <v>437</v>
      </c>
      <c r="E48" s="83" t="s">
        <v>438</v>
      </c>
      <c r="F48" s="83" t="s">
        <v>1</v>
      </c>
      <c r="G48" s="308"/>
      <c r="H48" s="50"/>
      <c r="I48" s="298"/>
      <c r="J48" s="163" t="s">
        <v>164</v>
      </c>
      <c r="K48" s="164"/>
      <c r="L48" s="164"/>
      <c r="M48" s="125" t="s">
        <v>1</v>
      </c>
    </row>
    <row r="49" spans="1:13" ht="14.4" x14ac:dyDescent="0.3">
      <c r="A49" s="149" t="s">
        <v>45</v>
      </c>
      <c r="B49" s="296">
        <v>2</v>
      </c>
      <c r="C49" s="64" t="s">
        <v>333</v>
      </c>
      <c r="D49" s="65" t="s">
        <v>141</v>
      </c>
      <c r="E49" s="65" t="s">
        <v>418</v>
      </c>
      <c r="F49" s="64">
        <v>2</v>
      </c>
      <c r="G49" s="308"/>
      <c r="H49" s="251">
        <v>5</v>
      </c>
      <c r="I49" s="295">
        <v>1</v>
      </c>
      <c r="J49" s="126" t="s">
        <v>352</v>
      </c>
      <c r="K49" s="126" t="s">
        <v>221</v>
      </c>
      <c r="L49" s="126" t="s">
        <v>442</v>
      </c>
      <c r="M49" s="249">
        <v>1</v>
      </c>
    </row>
    <row r="50" spans="1:13" ht="14.4" x14ac:dyDescent="0.3">
      <c r="A50" s="149" t="s">
        <v>45</v>
      </c>
      <c r="B50" s="296">
        <v>2</v>
      </c>
      <c r="C50" s="61" t="s">
        <v>334</v>
      </c>
      <c r="D50" s="62" t="s">
        <v>416</v>
      </c>
      <c r="E50" s="62" t="s">
        <v>140</v>
      </c>
      <c r="F50" s="63">
        <v>2</v>
      </c>
      <c r="H50" s="251">
        <v>5</v>
      </c>
      <c r="I50" s="295">
        <v>2</v>
      </c>
      <c r="J50" s="126" t="s">
        <v>353</v>
      </c>
      <c r="K50" s="126" t="s">
        <v>222</v>
      </c>
      <c r="L50" s="126" t="s">
        <v>443</v>
      </c>
      <c r="M50" s="250">
        <v>2</v>
      </c>
    </row>
    <row r="51" spans="1:13" ht="14.4" x14ac:dyDescent="0.3">
      <c r="A51" s="149" t="s">
        <v>66</v>
      </c>
      <c r="B51" s="296">
        <v>2</v>
      </c>
      <c r="C51" s="64" t="s">
        <v>335</v>
      </c>
      <c r="D51" s="66" t="s">
        <v>417</v>
      </c>
      <c r="E51" s="66" t="s">
        <v>142</v>
      </c>
      <c r="F51" s="64">
        <v>2</v>
      </c>
      <c r="H51" s="251">
        <v>5</v>
      </c>
      <c r="I51" s="295">
        <v>3</v>
      </c>
      <c r="J51" s="126" t="s">
        <v>354</v>
      </c>
      <c r="K51" s="126" t="s">
        <v>223</v>
      </c>
      <c r="L51" s="126" t="s">
        <v>444</v>
      </c>
      <c r="M51" s="250">
        <v>3</v>
      </c>
    </row>
    <row r="52" spans="1:13" ht="14.4" x14ac:dyDescent="0.3">
      <c r="A52" s="149" t="s">
        <v>66</v>
      </c>
      <c r="B52" s="296">
        <v>2</v>
      </c>
      <c r="C52" s="61" t="s">
        <v>336</v>
      </c>
      <c r="D52" s="206" t="s">
        <v>419</v>
      </c>
      <c r="E52" s="206" t="s">
        <v>65</v>
      </c>
      <c r="F52" s="60">
        <v>2</v>
      </c>
      <c r="H52" s="251">
        <v>5</v>
      </c>
      <c r="I52" s="295">
        <v>4</v>
      </c>
      <c r="J52" s="126" t="s">
        <v>355</v>
      </c>
      <c r="K52" s="126" t="s">
        <v>224</v>
      </c>
      <c r="L52" s="126" t="s">
        <v>445</v>
      </c>
      <c r="M52" s="251">
        <v>4</v>
      </c>
    </row>
    <row r="53" spans="1:13" ht="14.4" x14ac:dyDescent="0.3">
      <c r="A53" s="149" t="s">
        <v>45</v>
      </c>
      <c r="B53" s="296">
        <v>2</v>
      </c>
      <c r="C53" s="64" t="s">
        <v>337</v>
      </c>
      <c r="D53" s="65" t="s">
        <v>143</v>
      </c>
      <c r="E53" s="65" t="s">
        <v>420</v>
      </c>
      <c r="F53" s="64">
        <v>2</v>
      </c>
      <c r="H53" s="251">
        <v>5</v>
      </c>
      <c r="I53" s="295">
        <v>5</v>
      </c>
      <c r="J53" s="126" t="s">
        <v>356</v>
      </c>
      <c r="K53" s="126" t="s">
        <v>225</v>
      </c>
      <c r="L53" s="126" t="s">
        <v>446</v>
      </c>
      <c r="M53" s="251">
        <v>5</v>
      </c>
    </row>
    <row r="54" spans="1:13" ht="14.4" x14ac:dyDescent="0.3">
      <c r="A54" s="149" t="s">
        <v>66</v>
      </c>
      <c r="B54" s="296">
        <v>2</v>
      </c>
      <c r="C54" s="64" t="s">
        <v>338</v>
      </c>
      <c r="D54" s="65" t="s">
        <v>421</v>
      </c>
      <c r="E54" s="65" t="s">
        <v>156</v>
      </c>
      <c r="F54" s="64">
        <v>2</v>
      </c>
      <c r="H54" s="251">
        <v>5</v>
      </c>
      <c r="I54" s="295">
        <v>6</v>
      </c>
      <c r="J54" s="126" t="s">
        <v>357</v>
      </c>
      <c r="K54" s="126" t="s">
        <v>226</v>
      </c>
      <c r="L54" s="126" t="s">
        <v>447</v>
      </c>
      <c r="M54" s="251">
        <v>6</v>
      </c>
    </row>
    <row r="55" spans="1:13" ht="14.4" x14ac:dyDescent="0.3">
      <c r="A55" s="218"/>
      <c r="B55" s="297"/>
      <c r="C55" s="169" t="s">
        <v>149</v>
      </c>
      <c r="D55" s="170"/>
      <c r="E55" s="224"/>
      <c r="F55" s="217">
        <f>SUM(F49:F54)</f>
        <v>12</v>
      </c>
      <c r="H55" s="1"/>
      <c r="I55" s="298"/>
      <c r="J55" s="165" t="s">
        <v>149</v>
      </c>
      <c r="K55" s="166"/>
      <c r="L55" s="166"/>
      <c r="M55" s="252">
        <f>SUM(M48:M54)</f>
        <v>21</v>
      </c>
    </row>
    <row r="56" spans="1:13" ht="14.4" x14ac:dyDescent="0.3">
      <c r="B56" s="298"/>
      <c r="H56" s="1"/>
      <c r="I56" s="298"/>
      <c r="J56" s="1"/>
      <c r="K56" s="1"/>
      <c r="L56" s="1"/>
      <c r="M56" s="1"/>
    </row>
    <row r="57" spans="1:13" ht="14.4" x14ac:dyDescent="0.3">
      <c r="B57" s="298"/>
      <c r="C57" s="50"/>
      <c r="D57" s="50"/>
      <c r="E57" s="50"/>
      <c r="F57" s="50"/>
      <c r="H57" s="1"/>
      <c r="I57" s="298"/>
      <c r="J57" s="163" t="s">
        <v>164</v>
      </c>
      <c r="K57" s="164"/>
      <c r="L57" s="164"/>
      <c r="M57" s="125" t="s">
        <v>1</v>
      </c>
    </row>
    <row r="58" spans="1:13" ht="14.4" x14ac:dyDescent="0.3">
      <c r="A58" s="218"/>
      <c r="B58" s="299">
        <v>2</v>
      </c>
      <c r="C58" s="87" t="s">
        <v>435</v>
      </c>
      <c r="D58" s="87" t="s">
        <v>436</v>
      </c>
      <c r="E58" s="87" t="s">
        <v>439</v>
      </c>
      <c r="F58" s="88" t="s">
        <v>1</v>
      </c>
      <c r="H58" s="251">
        <v>6</v>
      </c>
      <c r="I58" s="295">
        <v>1</v>
      </c>
      <c r="J58" s="126" t="s">
        <v>358</v>
      </c>
      <c r="K58" s="126" t="s">
        <v>227</v>
      </c>
      <c r="L58" s="126" t="s">
        <v>448</v>
      </c>
      <c r="M58" s="249">
        <v>1</v>
      </c>
    </row>
    <row r="59" spans="1:13" ht="14.4" x14ac:dyDescent="0.3">
      <c r="A59" s="150" t="s">
        <v>45</v>
      </c>
      <c r="B59" s="299">
        <v>2</v>
      </c>
      <c r="C59" s="67" t="s">
        <v>339</v>
      </c>
      <c r="D59" s="68" t="s">
        <v>469</v>
      </c>
      <c r="E59" s="68" t="s">
        <v>468</v>
      </c>
      <c r="F59" s="69">
        <v>2</v>
      </c>
      <c r="H59" s="251">
        <v>6</v>
      </c>
      <c r="I59" s="295">
        <v>2</v>
      </c>
      <c r="J59" s="126" t="s">
        <v>359</v>
      </c>
      <c r="K59" s="126" t="s">
        <v>228</v>
      </c>
      <c r="L59" s="126" t="s">
        <v>449</v>
      </c>
      <c r="M59" s="250">
        <v>2</v>
      </c>
    </row>
    <row r="60" spans="1:13" ht="14.4" x14ac:dyDescent="0.3">
      <c r="A60" s="150" t="s">
        <v>45</v>
      </c>
      <c r="B60" s="299">
        <v>2</v>
      </c>
      <c r="C60" s="67" t="s">
        <v>340</v>
      </c>
      <c r="D60" s="70" t="s">
        <v>51</v>
      </c>
      <c r="E60" s="70" t="s">
        <v>413</v>
      </c>
      <c r="F60" s="69">
        <v>2</v>
      </c>
      <c r="H60" s="251">
        <v>6</v>
      </c>
      <c r="I60" s="295">
        <v>3</v>
      </c>
      <c r="J60" s="126" t="s">
        <v>360</v>
      </c>
      <c r="K60" s="126" t="s">
        <v>229</v>
      </c>
      <c r="L60" s="126" t="s">
        <v>450</v>
      </c>
      <c r="M60" s="250">
        <v>3</v>
      </c>
    </row>
    <row r="61" spans="1:13" ht="14.4" x14ac:dyDescent="0.3">
      <c r="A61" s="150" t="s">
        <v>66</v>
      </c>
      <c r="B61" s="299">
        <v>2</v>
      </c>
      <c r="C61" s="67" t="s">
        <v>341</v>
      </c>
      <c r="D61" s="70" t="s">
        <v>411</v>
      </c>
      <c r="E61" s="70" t="s">
        <v>157</v>
      </c>
      <c r="F61" s="69"/>
      <c r="H61" s="251">
        <v>6</v>
      </c>
      <c r="I61" s="295">
        <v>4</v>
      </c>
      <c r="J61" s="126" t="s">
        <v>361</v>
      </c>
      <c r="K61" s="126" t="s">
        <v>230</v>
      </c>
      <c r="L61" s="126" t="s">
        <v>451</v>
      </c>
      <c r="M61" s="251">
        <v>4</v>
      </c>
    </row>
    <row r="62" spans="1:13" ht="14.4" x14ac:dyDescent="0.3">
      <c r="A62" s="150" t="s">
        <v>66</v>
      </c>
      <c r="B62" s="299">
        <v>2</v>
      </c>
      <c r="C62" s="67" t="s">
        <v>342</v>
      </c>
      <c r="D62" s="68" t="s">
        <v>148</v>
      </c>
      <c r="E62" s="68" t="s">
        <v>412</v>
      </c>
      <c r="F62" s="69">
        <v>2</v>
      </c>
      <c r="H62" s="251">
        <v>6</v>
      </c>
      <c r="I62" s="295">
        <v>5</v>
      </c>
      <c r="J62" s="126" t="s">
        <v>362</v>
      </c>
      <c r="K62" s="126" t="s">
        <v>231</v>
      </c>
      <c r="L62" s="126" t="s">
        <v>452</v>
      </c>
      <c r="M62" s="251">
        <v>5</v>
      </c>
    </row>
    <row r="63" spans="1:13" ht="14.4" x14ac:dyDescent="0.3">
      <c r="A63" s="150" t="s">
        <v>45</v>
      </c>
      <c r="B63" s="299">
        <v>2</v>
      </c>
      <c r="C63" s="67" t="s">
        <v>343</v>
      </c>
      <c r="D63" s="68" t="s">
        <v>147</v>
      </c>
      <c r="E63" s="68" t="s">
        <v>414</v>
      </c>
      <c r="F63" s="69">
        <v>2</v>
      </c>
      <c r="H63" s="251">
        <v>6</v>
      </c>
      <c r="I63" s="295">
        <v>6</v>
      </c>
      <c r="J63" s="126" t="s">
        <v>363</v>
      </c>
      <c r="K63" s="126" t="s">
        <v>232</v>
      </c>
      <c r="L63" s="126" t="s">
        <v>453</v>
      </c>
      <c r="M63" s="251">
        <v>6</v>
      </c>
    </row>
    <row r="64" spans="1:13" ht="14.4" x14ac:dyDescent="0.3">
      <c r="A64" s="150" t="s">
        <v>66</v>
      </c>
      <c r="B64" s="299">
        <v>2</v>
      </c>
      <c r="C64" s="67" t="s">
        <v>344</v>
      </c>
      <c r="D64" s="68" t="s">
        <v>145</v>
      </c>
      <c r="E64" s="68" t="s">
        <v>415</v>
      </c>
      <c r="F64" s="69">
        <v>2</v>
      </c>
      <c r="H64" s="1"/>
      <c r="I64" s="298"/>
      <c r="J64" s="165" t="s">
        <v>149</v>
      </c>
      <c r="K64" s="166"/>
      <c r="L64" s="166"/>
      <c r="M64" s="252">
        <f>SUM(M57:M63)</f>
        <v>21</v>
      </c>
    </row>
    <row r="65" spans="1:13" ht="14.4" x14ac:dyDescent="0.3">
      <c r="A65" s="218"/>
      <c r="B65" s="297"/>
      <c r="C65" s="171" t="s">
        <v>149</v>
      </c>
      <c r="D65" s="172"/>
      <c r="E65" s="172"/>
      <c r="F65" s="219">
        <f>SUM(F59:F64)</f>
        <v>10</v>
      </c>
      <c r="H65" s="1"/>
      <c r="I65" s="298"/>
      <c r="J65" s="89"/>
      <c r="K65" s="167"/>
      <c r="L65" s="167"/>
      <c r="M65" s="168"/>
    </row>
    <row r="66" spans="1:13" ht="14.4" x14ac:dyDescent="0.3">
      <c r="B66" s="298"/>
      <c r="H66" s="1"/>
      <c r="I66" s="298"/>
      <c r="J66" s="126"/>
      <c r="K66" s="127" t="s">
        <v>470</v>
      </c>
      <c r="L66" s="127"/>
      <c r="M66" s="250">
        <v>20</v>
      </c>
    </row>
    <row r="67" spans="1:13" ht="14.4" x14ac:dyDescent="0.3">
      <c r="A67" s="218"/>
      <c r="B67" s="300">
        <v>1</v>
      </c>
      <c r="C67" s="71" t="s">
        <v>435</v>
      </c>
      <c r="D67" s="248" t="s">
        <v>434</v>
      </c>
      <c r="E67" s="248"/>
      <c r="F67" s="72" t="s">
        <v>1</v>
      </c>
    </row>
    <row r="68" spans="1:13" ht="14.4" x14ac:dyDescent="0.3">
      <c r="A68" s="151" t="s">
        <v>45</v>
      </c>
      <c r="B68" s="300">
        <v>2</v>
      </c>
      <c r="C68" s="90" t="s">
        <v>345</v>
      </c>
      <c r="D68" s="221" t="s">
        <v>428</v>
      </c>
      <c r="E68" s="221" t="s">
        <v>422</v>
      </c>
      <c r="F68" s="94">
        <v>2</v>
      </c>
    </row>
    <row r="69" spans="1:13" ht="14.4" x14ac:dyDescent="0.3">
      <c r="A69" s="151" t="s">
        <v>45</v>
      </c>
      <c r="B69" s="300">
        <v>2</v>
      </c>
      <c r="C69" s="90" t="s">
        <v>346</v>
      </c>
      <c r="D69" s="222" t="s">
        <v>159</v>
      </c>
      <c r="E69" s="222" t="s">
        <v>423</v>
      </c>
      <c r="F69" s="94">
        <v>2</v>
      </c>
      <c r="J69" s="378" t="s">
        <v>282</v>
      </c>
      <c r="K69" s="379" t="s">
        <v>3</v>
      </c>
      <c r="L69" s="380" t="s">
        <v>475</v>
      </c>
    </row>
    <row r="70" spans="1:13" ht="14.4" x14ac:dyDescent="0.3">
      <c r="A70" s="151" t="s">
        <v>66</v>
      </c>
      <c r="B70" s="300">
        <v>2</v>
      </c>
      <c r="C70" s="90" t="s">
        <v>347</v>
      </c>
      <c r="D70" s="222" t="s">
        <v>429</v>
      </c>
      <c r="E70" s="222" t="s">
        <v>426</v>
      </c>
      <c r="F70" s="90">
        <v>2</v>
      </c>
      <c r="J70" s="378" t="s">
        <v>283</v>
      </c>
      <c r="K70" s="379" t="s">
        <v>7</v>
      </c>
      <c r="L70" s="380" t="s">
        <v>476</v>
      </c>
    </row>
    <row r="71" spans="1:13" ht="14.4" x14ac:dyDescent="0.3">
      <c r="A71" s="151" t="s">
        <v>66</v>
      </c>
      <c r="B71" s="300">
        <v>2</v>
      </c>
      <c r="C71" s="91" t="s">
        <v>348</v>
      </c>
      <c r="D71" s="223" t="s">
        <v>249</v>
      </c>
      <c r="E71" s="223" t="s">
        <v>425</v>
      </c>
      <c r="F71" s="93">
        <v>2</v>
      </c>
      <c r="J71" s="378" t="s">
        <v>284</v>
      </c>
      <c r="K71" s="379" t="s">
        <v>8</v>
      </c>
      <c r="L71" s="380" t="s">
        <v>477</v>
      </c>
    </row>
    <row r="72" spans="1:13" ht="14.4" x14ac:dyDescent="0.3">
      <c r="A72" s="151" t="s">
        <v>45</v>
      </c>
      <c r="B72" s="300">
        <v>2</v>
      </c>
      <c r="C72" s="90" t="s">
        <v>349</v>
      </c>
      <c r="D72" s="221" t="s">
        <v>220</v>
      </c>
      <c r="E72" s="221" t="s">
        <v>424</v>
      </c>
      <c r="F72" s="90">
        <v>2</v>
      </c>
      <c r="J72" s="378" t="s">
        <v>285</v>
      </c>
      <c r="K72" s="379" t="s">
        <v>9</v>
      </c>
      <c r="L72" s="380" t="s">
        <v>478</v>
      </c>
    </row>
    <row r="73" spans="1:13" ht="14.4" x14ac:dyDescent="0.3">
      <c r="A73" s="151" t="s">
        <v>66</v>
      </c>
      <c r="B73" s="300">
        <v>2</v>
      </c>
      <c r="C73" s="90" t="s">
        <v>350</v>
      </c>
      <c r="D73" s="221" t="s">
        <v>151</v>
      </c>
      <c r="E73" s="221" t="s">
        <v>427</v>
      </c>
      <c r="F73" s="90">
        <v>2</v>
      </c>
    </row>
    <row r="74" spans="1:13" ht="14.4" x14ac:dyDescent="0.3">
      <c r="A74" s="218"/>
      <c r="B74" s="297"/>
      <c r="C74" s="188" t="s">
        <v>149</v>
      </c>
      <c r="D74" s="173"/>
      <c r="E74" s="173"/>
      <c r="F74" s="220">
        <f>SUM(F68:F73)</f>
        <v>12</v>
      </c>
    </row>
    <row r="75" spans="1:13" ht="14.4" x14ac:dyDescent="0.3">
      <c r="B75" s="298"/>
    </row>
    <row r="76" spans="1:13" ht="14.4" x14ac:dyDescent="0.3">
      <c r="B76" s="298"/>
    </row>
    <row r="96" spans="1:6" ht="14.4" x14ac:dyDescent="0.3">
      <c r="A96" s="1"/>
      <c r="B96" s="298"/>
      <c r="C96" s="1"/>
      <c r="D96" s="1"/>
      <c r="E96" s="1"/>
      <c r="F96" s="1"/>
    </row>
    <row r="97" spans="1:6" ht="14.4" x14ac:dyDescent="0.3">
      <c r="A97" s="1"/>
      <c r="B97" s="298"/>
      <c r="F97" s="1"/>
    </row>
    <row r="98" spans="1:6" ht="14.4" x14ac:dyDescent="0.3">
      <c r="A98" s="1"/>
      <c r="B98" s="298"/>
      <c r="F98" s="1"/>
    </row>
    <row r="99" spans="1:6" ht="14.4" x14ac:dyDescent="0.3">
      <c r="A99" s="1"/>
      <c r="B99" s="298"/>
      <c r="F99" s="1"/>
    </row>
    <row r="100" spans="1:6" ht="409.6" x14ac:dyDescent="0.3">
      <c r="A100" s="436" t="s">
        <v>481</v>
      </c>
      <c r="B100" s="298"/>
      <c r="F100" s="1"/>
    </row>
    <row r="101" spans="1:6" ht="14.4" x14ac:dyDescent="0.3">
      <c r="A101" s="1"/>
      <c r="B101" s="298"/>
      <c r="C101" s="1"/>
      <c r="D101" s="1"/>
      <c r="E101" s="1"/>
      <c r="F1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Referensi CC</vt:lpstr>
      <vt:lpstr>LAM INFOKOM</vt:lpstr>
      <vt:lpstr>StrukturKurikulumRef full</vt:lpstr>
      <vt:lpstr>StrukturKurikulumRef</vt:lpstr>
      <vt:lpstr>Kurikulum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Tegar Bagus Afrianto</cp:lastModifiedBy>
  <dcterms:created xsi:type="dcterms:W3CDTF">2021-09-27T11:59:09Z</dcterms:created>
  <dcterms:modified xsi:type="dcterms:W3CDTF">2026-04-07T13:29:55Z</dcterms:modified>
</cp:coreProperties>
</file>